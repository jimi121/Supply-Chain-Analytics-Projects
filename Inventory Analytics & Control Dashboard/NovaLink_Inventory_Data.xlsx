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PORTFOLIO PROJECT\Supply Chain Projects\Inventory Control &amp; Reorder Tracking System\Inventory Analytics &amp; Control Dashboard\"/>
    </mc:Choice>
  </mc:AlternateContent>
  <xr:revisionPtr revIDLastSave="0" documentId="13_ncr:1_{A9EB0B9E-FD8E-41C9-B5F1-DA3EC3C238E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eTable" sheetId="2" r:id="rId1"/>
    <sheet name="Suppliers" sheetId="3" r:id="rId2"/>
    <sheet name="SupplierLeadTime" sheetId="4" r:id="rId3"/>
    <sheet name="Products" sheetId="5" r:id="rId4"/>
    <sheet name="MonthlyMovement" sheetId="6" r:id="rId5"/>
    <sheet name="Transactions" sheetId="7" r:id="rId6"/>
    <sheet name="PurchaseOrders" sheetId="8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8" l="1"/>
  <c r="F10" i="8"/>
  <c r="D10" i="8"/>
  <c r="J9" i="8"/>
  <c r="F9" i="8"/>
  <c r="D9" i="8"/>
  <c r="J8" i="8"/>
  <c r="F8" i="8"/>
  <c r="D8" i="8"/>
  <c r="J7" i="8"/>
  <c r="F7" i="8"/>
  <c r="D7" i="8"/>
  <c r="J6" i="8"/>
  <c r="F6" i="8"/>
  <c r="D6" i="8"/>
  <c r="J5" i="8"/>
  <c r="F5" i="8"/>
  <c r="D5" i="8"/>
  <c r="J4" i="8"/>
  <c r="F4" i="8"/>
  <c r="D4" i="8"/>
  <c r="J3" i="8"/>
  <c r="F3" i="8"/>
  <c r="D3" i="8"/>
  <c r="J2" i="8"/>
  <c r="F2" i="8"/>
  <c r="D2" i="8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T181" i="6"/>
  <c r="S181" i="6"/>
  <c r="E181" i="6"/>
  <c r="D181" i="6"/>
  <c r="T180" i="6"/>
  <c r="S180" i="6"/>
  <c r="E180" i="6"/>
  <c r="D180" i="6"/>
  <c r="T179" i="6"/>
  <c r="S179" i="6"/>
  <c r="E179" i="6"/>
  <c r="D179" i="6"/>
  <c r="S178" i="6"/>
  <c r="T178" i="6" s="1"/>
  <c r="E178" i="6"/>
  <c r="D178" i="6"/>
  <c r="S177" i="6"/>
  <c r="T177" i="6" s="1"/>
  <c r="E177" i="6"/>
  <c r="D177" i="6"/>
  <c r="S176" i="6"/>
  <c r="T176" i="6" s="1"/>
  <c r="E176" i="6"/>
  <c r="D176" i="6"/>
  <c r="T175" i="6"/>
  <c r="S175" i="6"/>
  <c r="E175" i="6"/>
  <c r="D175" i="6"/>
  <c r="S174" i="6"/>
  <c r="T174" i="6" s="1"/>
  <c r="E174" i="6"/>
  <c r="D174" i="6"/>
  <c r="S173" i="6"/>
  <c r="T173" i="6" s="1"/>
  <c r="E173" i="6"/>
  <c r="D173" i="6"/>
  <c r="T172" i="6"/>
  <c r="S172" i="6"/>
  <c r="E172" i="6"/>
  <c r="D172" i="6"/>
  <c r="T171" i="6"/>
  <c r="S171" i="6"/>
  <c r="E171" i="6"/>
  <c r="D171" i="6"/>
  <c r="S170" i="6"/>
  <c r="T170" i="6" s="1"/>
  <c r="E170" i="6"/>
  <c r="D170" i="6"/>
  <c r="T169" i="6"/>
  <c r="S169" i="6"/>
  <c r="E169" i="6"/>
  <c r="D169" i="6"/>
  <c r="T168" i="6"/>
  <c r="S168" i="6"/>
  <c r="E168" i="6"/>
  <c r="D168" i="6"/>
  <c r="T167" i="6"/>
  <c r="S167" i="6"/>
  <c r="E167" i="6"/>
  <c r="D167" i="6"/>
  <c r="S166" i="6"/>
  <c r="T166" i="6" s="1"/>
  <c r="E166" i="6"/>
  <c r="D166" i="6"/>
  <c r="S165" i="6"/>
  <c r="T165" i="6" s="1"/>
  <c r="E165" i="6"/>
  <c r="D165" i="6"/>
  <c r="T164" i="6"/>
  <c r="S164" i="6"/>
  <c r="E164" i="6"/>
  <c r="D164" i="6"/>
  <c r="T163" i="6"/>
  <c r="S163" i="6"/>
  <c r="E163" i="6"/>
  <c r="D163" i="6"/>
  <c r="S162" i="6"/>
  <c r="T162" i="6" s="1"/>
  <c r="E162" i="6"/>
  <c r="D162" i="6"/>
  <c r="S161" i="6"/>
  <c r="T161" i="6" s="1"/>
  <c r="E161" i="6"/>
  <c r="D161" i="6"/>
  <c r="T160" i="6"/>
  <c r="S160" i="6"/>
  <c r="E160" i="6"/>
  <c r="D160" i="6"/>
  <c r="T159" i="6"/>
  <c r="S159" i="6"/>
  <c r="E159" i="6"/>
  <c r="D159" i="6"/>
  <c r="S158" i="6"/>
  <c r="T158" i="6" s="1"/>
  <c r="E158" i="6"/>
  <c r="D158" i="6"/>
  <c r="S157" i="6"/>
  <c r="T157" i="6" s="1"/>
  <c r="E157" i="6"/>
  <c r="D157" i="6"/>
  <c r="T156" i="6"/>
  <c r="S156" i="6"/>
  <c r="E156" i="6"/>
  <c r="D156" i="6"/>
  <c r="T155" i="6"/>
  <c r="S155" i="6"/>
  <c r="E155" i="6"/>
  <c r="D155" i="6"/>
  <c r="S154" i="6"/>
  <c r="T154" i="6" s="1"/>
  <c r="E154" i="6"/>
  <c r="D154" i="6"/>
  <c r="T153" i="6"/>
  <c r="S153" i="6"/>
  <c r="E153" i="6"/>
  <c r="D153" i="6"/>
  <c r="T152" i="6"/>
  <c r="S152" i="6"/>
  <c r="E152" i="6"/>
  <c r="D152" i="6"/>
  <c r="T151" i="6"/>
  <c r="S151" i="6"/>
  <c r="E151" i="6"/>
  <c r="D151" i="6"/>
  <c r="S150" i="6"/>
  <c r="T150" i="6" s="1"/>
  <c r="E150" i="6"/>
  <c r="D150" i="6"/>
  <c r="S149" i="6"/>
  <c r="T149" i="6" s="1"/>
  <c r="E149" i="6"/>
  <c r="D149" i="6"/>
  <c r="T148" i="6"/>
  <c r="S148" i="6"/>
  <c r="E148" i="6"/>
  <c r="D148" i="6"/>
  <c r="T147" i="6"/>
  <c r="S147" i="6"/>
  <c r="E147" i="6"/>
  <c r="D147" i="6"/>
  <c r="S146" i="6"/>
  <c r="T146" i="6" s="1"/>
  <c r="E146" i="6"/>
  <c r="D146" i="6"/>
  <c r="S145" i="6"/>
  <c r="T145" i="6" s="1"/>
  <c r="E145" i="6"/>
  <c r="D145" i="6"/>
  <c r="T144" i="6"/>
  <c r="S144" i="6"/>
  <c r="E144" i="6"/>
  <c r="D144" i="6"/>
  <c r="T143" i="6"/>
  <c r="S143" i="6"/>
  <c r="E143" i="6"/>
  <c r="D143" i="6"/>
  <c r="S142" i="6"/>
  <c r="T142" i="6" s="1"/>
  <c r="E142" i="6"/>
  <c r="D142" i="6"/>
  <c r="S141" i="6"/>
  <c r="T141" i="6" s="1"/>
  <c r="E141" i="6"/>
  <c r="D141" i="6"/>
  <c r="T140" i="6"/>
  <c r="S140" i="6"/>
  <c r="E140" i="6"/>
  <c r="D140" i="6"/>
  <c r="T139" i="6"/>
  <c r="S139" i="6"/>
  <c r="E139" i="6"/>
  <c r="D139" i="6"/>
  <c r="S138" i="6"/>
  <c r="T138" i="6" s="1"/>
  <c r="E138" i="6"/>
  <c r="D138" i="6"/>
  <c r="S137" i="6"/>
  <c r="T137" i="6" s="1"/>
  <c r="E137" i="6"/>
  <c r="D137" i="6"/>
  <c r="S136" i="6"/>
  <c r="T136" i="6" s="1"/>
  <c r="F136" i="6"/>
  <c r="E136" i="6"/>
  <c r="D136" i="6"/>
  <c r="S135" i="6"/>
  <c r="T135" i="6" s="1"/>
  <c r="E135" i="6"/>
  <c r="D135" i="6"/>
  <c r="T134" i="6"/>
  <c r="S134" i="6"/>
  <c r="E134" i="6"/>
  <c r="D134" i="6"/>
  <c r="T133" i="6"/>
  <c r="S133" i="6"/>
  <c r="E133" i="6"/>
  <c r="D133" i="6"/>
  <c r="S132" i="6"/>
  <c r="T132" i="6" s="1"/>
  <c r="E132" i="6"/>
  <c r="D132" i="6"/>
  <c r="S131" i="6"/>
  <c r="T131" i="6" s="1"/>
  <c r="E131" i="6"/>
  <c r="D131" i="6"/>
  <c r="T130" i="6"/>
  <c r="S130" i="6"/>
  <c r="E130" i="6"/>
  <c r="D130" i="6"/>
  <c r="T129" i="6"/>
  <c r="S129" i="6"/>
  <c r="E129" i="6"/>
  <c r="D129" i="6"/>
  <c r="S128" i="6"/>
  <c r="T128" i="6" s="1"/>
  <c r="E128" i="6"/>
  <c r="D128" i="6"/>
  <c r="S127" i="6"/>
  <c r="T127" i="6" s="1"/>
  <c r="E127" i="6"/>
  <c r="D127" i="6"/>
  <c r="T126" i="6"/>
  <c r="S126" i="6"/>
  <c r="E126" i="6"/>
  <c r="D126" i="6"/>
  <c r="T125" i="6"/>
  <c r="S125" i="6"/>
  <c r="E125" i="6"/>
  <c r="D125" i="6"/>
  <c r="S124" i="6"/>
  <c r="T124" i="6" s="1"/>
  <c r="E124" i="6"/>
  <c r="D124" i="6"/>
  <c r="S123" i="6"/>
  <c r="T123" i="6" s="1"/>
  <c r="E123" i="6"/>
  <c r="D123" i="6"/>
  <c r="T122" i="6"/>
  <c r="S122" i="6"/>
  <c r="E122" i="6"/>
  <c r="D122" i="6"/>
  <c r="T121" i="6"/>
  <c r="S121" i="6"/>
  <c r="E121" i="6"/>
  <c r="D121" i="6"/>
  <c r="S120" i="6"/>
  <c r="T120" i="6" s="1"/>
  <c r="F120" i="6"/>
  <c r="E120" i="6"/>
  <c r="D120" i="6"/>
  <c r="S119" i="6"/>
  <c r="T119" i="6" s="1"/>
  <c r="E119" i="6"/>
  <c r="D119" i="6"/>
  <c r="T118" i="6"/>
  <c r="S118" i="6"/>
  <c r="E118" i="6"/>
  <c r="D118" i="6"/>
  <c r="T117" i="6"/>
  <c r="S117" i="6"/>
  <c r="E117" i="6"/>
  <c r="D117" i="6"/>
  <c r="S116" i="6"/>
  <c r="T116" i="6" s="1"/>
  <c r="E116" i="6"/>
  <c r="D116" i="6"/>
  <c r="S115" i="6"/>
  <c r="T115" i="6" s="1"/>
  <c r="E115" i="6"/>
  <c r="D115" i="6"/>
  <c r="T114" i="6"/>
  <c r="S114" i="6"/>
  <c r="E114" i="6"/>
  <c r="D114" i="6"/>
  <c r="T113" i="6"/>
  <c r="S113" i="6"/>
  <c r="E113" i="6"/>
  <c r="D113" i="6"/>
  <c r="S112" i="6"/>
  <c r="T112" i="6" s="1"/>
  <c r="E112" i="6"/>
  <c r="D112" i="6"/>
  <c r="S111" i="6"/>
  <c r="T111" i="6" s="1"/>
  <c r="E111" i="6"/>
  <c r="D111" i="6"/>
  <c r="T110" i="6"/>
  <c r="S110" i="6"/>
  <c r="E110" i="6"/>
  <c r="D110" i="6"/>
  <c r="T109" i="6"/>
  <c r="S109" i="6"/>
  <c r="E109" i="6"/>
  <c r="D109" i="6"/>
  <c r="S108" i="6"/>
  <c r="T108" i="6" s="1"/>
  <c r="E108" i="6"/>
  <c r="D108" i="6"/>
  <c r="T107" i="6"/>
  <c r="S107" i="6"/>
  <c r="E107" i="6"/>
  <c r="D107" i="6"/>
  <c r="S106" i="6"/>
  <c r="T106" i="6" s="1"/>
  <c r="E106" i="6"/>
  <c r="D106" i="6"/>
  <c r="T105" i="6"/>
  <c r="S105" i="6"/>
  <c r="E105" i="6"/>
  <c r="D105" i="6"/>
  <c r="S104" i="6"/>
  <c r="T104" i="6" s="1"/>
  <c r="F104" i="6"/>
  <c r="E104" i="6"/>
  <c r="D104" i="6"/>
  <c r="S103" i="6"/>
  <c r="T103" i="6" s="1"/>
  <c r="E103" i="6"/>
  <c r="D103" i="6"/>
  <c r="T102" i="6"/>
  <c r="S102" i="6"/>
  <c r="E102" i="6"/>
  <c r="D102" i="6"/>
  <c r="T101" i="6"/>
  <c r="S101" i="6"/>
  <c r="F101" i="6"/>
  <c r="E101" i="6"/>
  <c r="D101" i="6"/>
  <c r="S100" i="6"/>
  <c r="T100" i="6" s="1"/>
  <c r="E100" i="6"/>
  <c r="D100" i="6"/>
  <c r="T99" i="6"/>
  <c r="S99" i="6"/>
  <c r="F99" i="6"/>
  <c r="E99" i="6"/>
  <c r="D99" i="6"/>
  <c r="S98" i="6"/>
  <c r="T98" i="6" s="1"/>
  <c r="E98" i="6"/>
  <c r="D98" i="6"/>
  <c r="T97" i="6"/>
  <c r="S97" i="6"/>
  <c r="F97" i="6"/>
  <c r="E97" i="6"/>
  <c r="D97" i="6"/>
  <c r="S96" i="6"/>
  <c r="T96" i="6" s="1"/>
  <c r="E96" i="6"/>
  <c r="D96" i="6"/>
  <c r="T95" i="6"/>
  <c r="S95" i="6"/>
  <c r="E95" i="6"/>
  <c r="D95" i="6"/>
  <c r="S94" i="6"/>
  <c r="T94" i="6" s="1"/>
  <c r="E94" i="6"/>
  <c r="D94" i="6"/>
  <c r="T93" i="6"/>
  <c r="S93" i="6"/>
  <c r="E93" i="6"/>
  <c r="D93" i="6"/>
  <c r="S92" i="6"/>
  <c r="T92" i="6" s="1"/>
  <c r="E92" i="6"/>
  <c r="D92" i="6"/>
  <c r="T91" i="6"/>
  <c r="S91" i="6"/>
  <c r="E91" i="6"/>
  <c r="D91" i="6"/>
  <c r="S90" i="6"/>
  <c r="T90" i="6" s="1"/>
  <c r="E90" i="6"/>
  <c r="D90" i="6"/>
  <c r="T89" i="6"/>
  <c r="S89" i="6"/>
  <c r="E89" i="6"/>
  <c r="D89" i="6"/>
  <c r="S88" i="6"/>
  <c r="T88" i="6" s="1"/>
  <c r="G88" i="6"/>
  <c r="L88" i="6" s="1"/>
  <c r="E88" i="6"/>
  <c r="D88" i="6"/>
  <c r="T87" i="6"/>
  <c r="S87" i="6"/>
  <c r="F87" i="6"/>
  <c r="E87" i="6"/>
  <c r="D87" i="6"/>
  <c r="S86" i="6"/>
  <c r="T86" i="6" s="1"/>
  <c r="E86" i="6"/>
  <c r="D86" i="6"/>
  <c r="T85" i="6"/>
  <c r="S85" i="6"/>
  <c r="E85" i="6"/>
  <c r="D85" i="6"/>
  <c r="S84" i="6"/>
  <c r="T84" i="6" s="1"/>
  <c r="E84" i="6"/>
  <c r="D84" i="6"/>
  <c r="T83" i="6"/>
  <c r="S83" i="6"/>
  <c r="F83" i="6"/>
  <c r="E83" i="6"/>
  <c r="D83" i="6"/>
  <c r="S82" i="6"/>
  <c r="T82" i="6" s="1"/>
  <c r="E82" i="6"/>
  <c r="D82" i="6"/>
  <c r="T81" i="6"/>
  <c r="S81" i="6"/>
  <c r="F81" i="6"/>
  <c r="E81" i="6"/>
  <c r="D81" i="6"/>
  <c r="S80" i="6"/>
  <c r="T80" i="6" s="1"/>
  <c r="E80" i="6"/>
  <c r="D80" i="6"/>
  <c r="T79" i="6"/>
  <c r="S79" i="6"/>
  <c r="F79" i="6"/>
  <c r="E79" i="6"/>
  <c r="D79" i="6"/>
  <c r="S78" i="6"/>
  <c r="T78" i="6" s="1"/>
  <c r="E78" i="6"/>
  <c r="D78" i="6"/>
  <c r="T77" i="6"/>
  <c r="S77" i="6"/>
  <c r="F77" i="6"/>
  <c r="E77" i="6"/>
  <c r="D77" i="6"/>
  <c r="S76" i="6"/>
  <c r="T76" i="6" s="1"/>
  <c r="E76" i="6"/>
  <c r="D76" i="6"/>
  <c r="T75" i="6"/>
  <c r="S75" i="6"/>
  <c r="F75" i="6"/>
  <c r="E75" i="6"/>
  <c r="D75" i="6"/>
  <c r="S74" i="6"/>
  <c r="T74" i="6" s="1"/>
  <c r="E74" i="6"/>
  <c r="D74" i="6"/>
  <c r="T73" i="6"/>
  <c r="S73" i="6"/>
  <c r="F73" i="6"/>
  <c r="E73" i="6"/>
  <c r="D73" i="6"/>
  <c r="S72" i="6"/>
  <c r="T72" i="6" s="1"/>
  <c r="E72" i="6"/>
  <c r="D72" i="6"/>
  <c r="T71" i="6"/>
  <c r="S71" i="6"/>
  <c r="F71" i="6"/>
  <c r="E71" i="6"/>
  <c r="D71" i="6"/>
  <c r="S70" i="6"/>
  <c r="T70" i="6" s="1"/>
  <c r="F70" i="6"/>
  <c r="E70" i="6"/>
  <c r="D70" i="6"/>
  <c r="S69" i="6"/>
  <c r="T69" i="6" s="1"/>
  <c r="E69" i="6"/>
  <c r="D69" i="6"/>
  <c r="S68" i="6"/>
  <c r="T68" i="6" s="1"/>
  <c r="E68" i="6"/>
  <c r="D68" i="6"/>
  <c r="T67" i="6"/>
  <c r="S67" i="6"/>
  <c r="F67" i="6"/>
  <c r="E67" i="6"/>
  <c r="D67" i="6"/>
  <c r="S66" i="6"/>
  <c r="T66" i="6" s="1"/>
  <c r="E66" i="6"/>
  <c r="D66" i="6"/>
  <c r="T65" i="6"/>
  <c r="S65" i="6"/>
  <c r="F65" i="6"/>
  <c r="E65" i="6"/>
  <c r="D65" i="6"/>
  <c r="S64" i="6"/>
  <c r="T64" i="6" s="1"/>
  <c r="E64" i="6"/>
  <c r="D64" i="6"/>
  <c r="T63" i="6"/>
  <c r="S63" i="6"/>
  <c r="E63" i="6"/>
  <c r="D63" i="6"/>
  <c r="S62" i="6"/>
  <c r="T62" i="6" s="1"/>
  <c r="F62" i="6"/>
  <c r="E62" i="6"/>
  <c r="D62" i="6"/>
  <c r="S61" i="6"/>
  <c r="T61" i="6" s="1"/>
  <c r="E61" i="6"/>
  <c r="D61" i="6"/>
  <c r="S60" i="6"/>
  <c r="T60" i="6" s="1"/>
  <c r="G60" i="6"/>
  <c r="L60" i="6" s="1"/>
  <c r="E60" i="6"/>
  <c r="D60" i="6"/>
  <c r="T59" i="6"/>
  <c r="S59" i="6"/>
  <c r="F59" i="6"/>
  <c r="E59" i="6"/>
  <c r="D59" i="6"/>
  <c r="S58" i="6"/>
  <c r="T58" i="6" s="1"/>
  <c r="G58" i="6"/>
  <c r="L58" i="6" s="1"/>
  <c r="E58" i="6"/>
  <c r="D58" i="6"/>
  <c r="T57" i="6"/>
  <c r="S57" i="6"/>
  <c r="F57" i="6"/>
  <c r="E57" i="6"/>
  <c r="D57" i="6"/>
  <c r="S56" i="6"/>
  <c r="T56" i="6" s="1"/>
  <c r="E56" i="6"/>
  <c r="D56" i="6"/>
  <c r="T55" i="6"/>
  <c r="S55" i="6"/>
  <c r="L55" i="6"/>
  <c r="E55" i="6"/>
  <c r="D55" i="6"/>
  <c r="S54" i="6"/>
  <c r="T54" i="6" s="1"/>
  <c r="F54" i="6"/>
  <c r="E54" i="6"/>
  <c r="D54" i="6"/>
  <c r="S53" i="6"/>
  <c r="T53" i="6" s="1"/>
  <c r="E53" i="6"/>
  <c r="D53" i="6"/>
  <c r="S52" i="6"/>
  <c r="T52" i="6" s="1"/>
  <c r="G52" i="6"/>
  <c r="L52" i="6" s="1"/>
  <c r="E52" i="6"/>
  <c r="D52" i="6"/>
  <c r="T51" i="6"/>
  <c r="S51" i="6"/>
  <c r="F51" i="6"/>
  <c r="E51" i="6"/>
  <c r="D51" i="6"/>
  <c r="S50" i="6"/>
  <c r="T50" i="6" s="1"/>
  <c r="G50" i="6"/>
  <c r="L50" i="6" s="1"/>
  <c r="E50" i="6"/>
  <c r="D50" i="6"/>
  <c r="T49" i="6"/>
  <c r="S49" i="6"/>
  <c r="F49" i="6"/>
  <c r="E49" i="6"/>
  <c r="D49" i="6"/>
  <c r="S48" i="6"/>
  <c r="T48" i="6" s="1"/>
  <c r="E48" i="6"/>
  <c r="D48" i="6"/>
  <c r="T47" i="6"/>
  <c r="S47" i="6"/>
  <c r="L47" i="6"/>
  <c r="E47" i="6"/>
  <c r="D47" i="6"/>
  <c r="S46" i="6"/>
  <c r="T46" i="6" s="1"/>
  <c r="F46" i="6"/>
  <c r="E46" i="6"/>
  <c r="D46" i="6"/>
  <c r="S45" i="6"/>
  <c r="T45" i="6" s="1"/>
  <c r="E45" i="6"/>
  <c r="D45" i="6"/>
  <c r="S44" i="6"/>
  <c r="T44" i="6" s="1"/>
  <c r="G44" i="6"/>
  <c r="L44" i="6" s="1"/>
  <c r="E44" i="6"/>
  <c r="D44" i="6"/>
  <c r="T43" i="6"/>
  <c r="S43" i="6"/>
  <c r="F43" i="6"/>
  <c r="E43" i="6"/>
  <c r="D43" i="6"/>
  <c r="S42" i="6"/>
  <c r="T42" i="6" s="1"/>
  <c r="E42" i="6"/>
  <c r="D42" i="6"/>
  <c r="S41" i="6"/>
  <c r="T41" i="6" s="1"/>
  <c r="M41" i="6"/>
  <c r="F41" i="6"/>
  <c r="E41" i="6"/>
  <c r="D41" i="6"/>
  <c r="S40" i="6"/>
  <c r="T40" i="6" s="1"/>
  <c r="F40" i="6"/>
  <c r="E40" i="6"/>
  <c r="D40" i="6"/>
  <c r="S39" i="6"/>
  <c r="T39" i="6" s="1"/>
  <c r="G39" i="6"/>
  <c r="L39" i="6" s="1"/>
  <c r="E39" i="6"/>
  <c r="D39" i="6"/>
  <c r="T38" i="6"/>
  <c r="S38" i="6"/>
  <c r="E38" i="6"/>
  <c r="D38" i="6"/>
  <c r="S37" i="6"/>
  <c r="T37" i="6" s="1"/>
  <c r="F37" i="6"/>
  <c r="E37" i="6"/>
  <c r="D37" i="6"/>
  <c r="S36" i="6"/>
  <c r="T36" i="6" s="1"/>
  <c r="F36" i="6"/>
  <c r="E36" i="6"/>
  <c r="D36" i="6"/>
  <c r="S35" i="6"/>
  <c r="T35" i="6" s="1"/>
  <c r="G35" i="6"/>
  <c r="L35" i="6" s="1"/>
  <c r="E35" i="6"/>
  <c r="D35" i="6"/>
  <c r="T34" i="6"/>
  <c r="S34" i="6"/>
  <c r="E34" i="6"/>
  <c r="D34" i="6"/>
  <c r="S33" i="6"/>
  <c r="T33" i="6" s="1"/>
  <c r="F33" i="6"/>
  <c r="E33" i="6"/>
  <c r="D33" i="6"/>
  <c r="S32" i="6"/>
  <c r="T32" i="6" s="1"/>
  <c r="F32" i="6"/>
  <c r="E32" i="6"/>
  <c r="D32" i="6"/>
  <c r="S31" i="6"/>
  <c r="T31" i="6" s="1"/>
  <c r="O31" i="6"/>
  <c r="L31" i="6"/>
  <c r="G61" i="6" s="1"/>
  <c r="L61" i="6" s="1"/>
  <c r="F31" i="6"/>
  <c r="E31" i="6"/>
  <c r="D31" i="6"/>
  <c r="S30" i="6"/>
  <c r="T30" i="6" s="1"/>
  <c r="O30" i="6"/>
  <c r="L30" i="6"/>
  <c r="M30" i="6" s="1"/>
  <c r="F30" i="6"/>
  <c r="E30" i="6"/>
  <c r="D30" i="6"/>
  <c r="S29" i="6"/>
  <c r="T29" i="6" s="1"/>
  <c r="O29" i="6"/>
  <c r="L29" i="6"/>
  <c r="G59" i="6" s="1"/>
  <c r="L59" i="6" s="1"/>
  <c r="F29" i="6"/>
  <c r="E29" i="6"/>
  <c r="D29" i="6"/>
  <c r="S28" i="6"/>
  <c r="T28" i="6" s="1"/>
  <c r="O28" i="6"/>
  <c r="L28" i="6"/>
  <c r="M28" i="6" s="1"/>
  <c r="F28" i="6"/>
  <c r="E28" i="6"/>
  <c r="D28" i="6"/>
  <c r="S27" i="6"/>
  <c r="T27" i="6" s="1"/>
  <c r="O27" i="6"/>
  <c r="L27" i="6"/>
  <c r="M27" i="6" s="1"/>
  <c r="F27" i="6"/>
  <c r="E27" i="6"/>
  <c r="D27" i="6"/>
  <c r="S26" i="6"/>
  <c r="T26" i="6" s="1"/>
  <c r="O26" i="6"/>
  <c r="L26" i="6"/>
  <c r="G56" i="6" s="1"/>
  <c r="L56" i="6" s="1"/>
  <c r="F26" i="6"/>
  <c r="E26" i="6"/>
  <c r="D26" i="6"/>
  <c r="S25" i="6"/>
  <c r="T25" i="6" s="1"/>
  <c r="O25" i="6"/>
  <c r="L25" i="6"/>
  <c r="G55" i="6" s="1"/>
  <c r="F25" i="6"/>
  <c r="E25" i="6"/>
  <c r="D25" i="6"/>
  <c r="S24" i="6"/>
  <c r="T24" i="6" s="1"/>
  <c r="O24" i="6"/>
  <c r="L24" i="6"/>
  <c r="G54" i="6" s="1"/>
  <c r="L54" i="6" s="1"/>
  <c r="F24" i="6"/>
  <c r="E24" i="6"/>
  <c r="D24" i="6"/>
  <c r="S23" i="6"/>
  <c r="T23" i="6" s="1"/>
  <c r="O23" i="6"/>
  <c r="L23" i="6"/>
  <c r="G53" i="6" s="1"/>
  <c r="L53" i="6" s="1"/>
  <c r="F23" i="6"/>
  <c r="E23" i="6"/>
  <c r="D23" i="6"/>
  <c r="S22" i="6"/>
  <c r="T22" i="6" s="1"/>
  <c r="O22" i="6"/>
  <c r="L22" i="6"/>
  <c r="M22" i="6" s="1"/>
  <c r="F22" i="6"/>
  <c r="E22" i="6"/>
  <c r="D22" i="6"/>
  <c r="S21" i="6"/>
  <c r="T21" i="6" s="1"/>
  <c r="O21" i="6"/>
  <c r="L21" i="6"/>
  <c r="G51" i="6" s="1"/>
  <c r="L51" i="6" s="1"/>
  <c r="F21" i="6"/>
  <c r="E21" i="6"/>
  <c r="D21" i="6"/>
  <c r="S20" i="6"/>
  <c r="T20" i="6" s="1"/>
  <c r="O20" i="6"/>
  <c r="L20" i="6"/>
  <c r="M20" i="6" s="1"/>
  <c r="F20" i="6"/>
  <c r="E20" i="6"/>
  <c r="D20" i="6"/>
  <c r="S19" i="6"/>
  <c r="T19" i="6" s="1"/>
  <c r="O19" i="6"/>
  <c r="L19" i="6"/>
  <c r="M19" i="6" s="1"/>
  <c r="F19" i="6"/>
  <c r="E19" i="6"/>
  <c r="D19" i="6"/>
  <c r="S18" i="6"/>
  <c r="T18" i="6" s="1"/>
  <c r="O18" i="6"/>
  <c r="L18" i="6"/>
  <c r="G48" i="6" s="1"/>
  <c r="L48" i="6" s="1"/>
  <c r="F18" i="6"/>
  <c r="E18" i="6"/>
  <c r="D18" i="6"/>
  <c r="S17" i="6"/>
  <c r="T17" i="6" s="1"/>
  <c r="O17" i="6"/>
  <c r="L17" i="6"/>
  <c r="G47" i="6" s="1"/>
  <c r="F17" i="6"/>
  <c r="E17" i="6"/>
  <c r="D17" i="6"/>
  <c r="S16" i="6"/>
  <c r="T16" i="6" s="1"/>
  <c r="O16" i="6"/>
  <c r="L16" i="6"/>
  <c r="G46" i="6" s="1"/>
  <c r="L46" i="6" s="1"/>
  <c r="F16" i="6"/>
  <c r="E16" i="6"/>
  <c r="D16" i="6"/>
  <c r="S15" i="6"/>
  <c r="T15" i="6" s="1"/>
  <c r="O15" i="6"/>
  <c r="L15" i="6"/>
  <c r="G45" i="6" s="1"/>
  <c r="L45" i="6" s="1"/>
  <c r="F15" i="6"/>
  <c r="E15" i="6"/>
  <c r="D15" i="6"/>
  <c r="S14" i="6"/>
  <c r="T14" i="6" s="1"/>
  <c r="O14" i="6"/>
  <c r="L14" i="6"/>
  <c r="M14" i="6" s="1"/>
  <c r="F14" i="6"/>
  <c r="E14" i="6"/>
  <c r="D14" i="6"/>
  <c r="S13" i="6"/>
  <c r="T13" i="6" s="1"/>
  <c r="O13" i="6"/>
  <c r="L13" i="6"/>
  <c r="G43" i="6" s="1"/>
  <c r="L43" i="6" s="1"/>
  <c r="F13" i="6"/>
  <c r="E13" i="6"/>
  <c r="D13" i="6"/>
  <c r="S12" i="6"/>
  <c r="T12" i="6" s="1"/>
  <c r="O12" i="6"/>
  <c r="L12" i="6"/>
  <c r="G42" i="6" s="1"/>
  <c r="L42" i="6" s="1"/>
  <c r="F12" i="6"/>
  <c r="E12" i="6"/>
  <c r="D12" i="6"/>
  <c r="S11" i="6"/>
  <c r="T11" i="6" s="1"/>
  <c r="O11" i="6"/>
  <c r="L11" i="6"/>
  <c r="G41" i="6" s="1"/>
  <c r="L41" i="6" s="1"/>
  <c r="F11" i="6"/>
  <c r="E11" i="6"/>
  <c r="D11" i="6"/>
  <c r="S10" i="6"/>
  <c r="T10" i="6" s="1"/>
  <c r="O10" i="6"/>
  <c r="L10" i="6"/>
  <c r="M10" i="6" s="1"/>
  <c r="F10" i="6"/>
  <c r="E10" i="6"/>
  <c r="D10" i="6"/>
  <c r="S9" i="6"/>
  <c r="T9" i="6" s="1"/>
  <c r="O9" i="6"/>
  <c r="L9" i="6"/>
  <c r="M9" i="6" s="1"/>
  <c r="F9" i="6"/>
  <c r="E9" i="6"/>
  <c r="D9" i="6"/>
  <c r="S8" i="6"/>
  <c r="T8" i="6" s="1"/>
  <c r="O8" i="6"/>
  <c r="L8" i="6"/>
  <c r="G38" i="6" s="1"/>
  <c r="L38" i="6" s="1"/>
  <c r="F8" i="6"/>
  <c r="E8" i="6"/>
  <c r="D8" i="6"/>
  <c r="S7" i="6"/>
  <c r="T7" i="6" s="1"/>
  <c r="O7" i="6"/>
  <c r="L7" i="6"/>
  <c r="G37" i="6" s="1"/>
  <c r="L37" i="6" s="1"/>
  <c r="M37" i="6" s="1"/>
  <c r="F7" i="6"/>
  <c r="E7" i="6"/>
  <c r="D7" i="6"/>
  <c r="S6" i="6"/>
  <c r="T6" i="6" s="1"/>
  <c r="O6" i="6"/>
  <c r="L6" i="6"/>
  <c r="M6" i="6" s="1"/>
  <c r="F6" i="6"/>
  <c r="E6" i="6"/>
  <c r="D6" i="6"/>
  <c r="S5" i="6"/>
  <c r="T5" i="6" s="1"/>
  <c r="O5" i="6"/>
  <c r="L5" i="6"/>
  <c r="M5" i="6" s="1"/>
  <c r="F5" i="6"/>
  <c r="E5" i="6"/>
  <c r="D5" i="6"/>
  <c r="S4" i="6"/>
  <c r="T4" i="6" s="1"/>
  <c r="O4" i="6"/>
  <c r="L4" i="6"/>
  <c r="G34" i="6" s="1"/>
  <c r="L34" i="6" s="1"/>
  <c r="F4" i="6"/>
  <c r="E4" i="6"/>
  <c r="D4" i="6"/>
  <c r="S3" i="6"/>
  <c r="T3" i="6" s="1"/>
  <c r="O3" i="6"/>
  <c r="L3" i="6"/>
  <c r="G33" i="6" s="1"/>
  <c r="L33" i="6" s="1"/>
  <c r="F3" i="6"/>
  <c r="E3" i="6"/>
  <c r="D3" i="6"/>
  <c r="S2" i="6"/>
  <c r="T2" i="6" s="1"/>
  <c r="O2" i="6"/>
  <c r="L2" i="6"/>
  <c r="F2" i="6"/>
  <c r="E2" i="6"/>
  <c r="D2" i="6"/>
  <c r="S31" i="5"/>
  <c r="T31" i="5" s="1"/>
  <c r="R31" i="5"/>
  <c r="P31" i="5"/>
  <c r="K31" i="5"/>
  <c r="E31" i="5"/>
  <c r="S30" i="5"/>
  <c r="T30" i="5" s="1"/>
  <c r="R30" i="5"/>
  <c r="P30" i="5"/>
  <c r="E30" i="5"/>
  <c r="S29" i="5"/>
  <c r="T29" i="5" s="1"/>
  <c r="R29" i="5"/>
  <c r="P29" i="5"/>
  <c r="K29" i="5"/>
  <c r="E29" i="5"/>
  <c r="S28" i="5"/>
  <c r="T28" i="5" s="1"/>
  <c r="R28" i="5"/>
  <c r="P28" i="5"/>
  <c r="E28" i="5"/>
  <c r="S27" i="5"/>
  <c r="T27" i="5" s="1"/>
  <c r="R27" i="5"/>
  <c r="P27" i="5"/>
  <c r="K27" i="5"/>
  <c r="E27" i="5"/>
  <c r="S26" i="5"/>
  <c r="T26" i="5" s="1"/>
  <c r="R26" i="5"/>
  <c r="P26" i="5"/>
  <c r="E26" i="5"/>
  <c r="S25" i="5"/>
  <c r="T25" i="5" s="1"/>
  <c r="R25" i="5"/>
  <c r="P25" i="5"/>
  <c r="K25" i="5"/>
  <c r="E25" i="5"/>
  <c r="S24" i="5"/>
  <c r="T24" i="5" s="1"/>
  <c r="R24" i="5"/>
  <c r="P24" i="5"/>
  <c r="E24" i="5"/>
  <c r="S23" i="5"/>
  <c r="T23" i="5" s="1"/>
  <c r="R23" i="5"/>
  <c r="P23" i="5"/>
  <c r="K23" i="5"/>
  <c r="E23" i="5"/>
  <c r="S22" i="5"/>
  <c r="T22" i="5" s="1"/>
  <c r="R22" i="5"/>
  <c r="P22" i="5"/>
  <c r="E22" i="5"/>
  <c r="S21" i="5"/>
  <c r="T21" i="5" s="1"/>
  <c r="R21" i="5"/>
  <c r="P21" i="5"/>
  <c r="K21" i="5"/>
  <c r="E21" i="5"/>
  <c r="S20" i="5"/>
  <c r="T20" i="5" s="1"/>
  <c r="R20" i="5"/>
  <c r="P20" i="5"/>
  <c r="E20" i="5"/>
  <c r="S19" i="5"/>
  <c r="T19" i="5" s="1"/>
  <c r="R19" i="5"/>
  <c r="P19" i="5"/>
  <c r="K19" i="5"/>
  <c r="E19" i="5"/>
  <c r="S18" i="5"/>
  <c r="T18" i="5" s="1"/>
  <c r="R18" i="5"/>
  <c r="P18" i="5"/>
  <c r="E18" i="5"/>
  <c r="S17" i="5"/>
  <c r="T17" i="5" s="1"/>
  <c r="R17" i="5"/>
  <c r="P17" i="5"/>
  <c r="K17" i="5"/>
  <c r="E17" i="5"/>
  <c r="S16" i="5"/>
  <c r="T16" i="5" s="1"/>
  <c r="R16" i="5"/>
  <c r="P16" i="5"/>
  <c r="E16" i="5"/>
  <c r="S15" i="5"/>
  <c r="T15" i="5" s="1"/>
  <c r="R15" i="5"/>
  <c r="P15" i="5"/>
  <c r="K15" i="5"/>
  <c r="E15" i="5"/>
  <c r="S14" i="5"/>
  <c r="T14" i="5" s="1"/>
  <c r="R14" i="5"/>
  <c r="P14" i="5"/>
  <c r="E14" i="5"/>
  <c r="S13" i="5"/>
  <c r="T13" i="5" s="1"/>
  <c r="R13" i="5"/>
  <c r="P13" i="5"/>
  <c r="K13" i="5"/>
  <c r="E13" i="5"/>
  <c r="S12" i="5"/>
  <c r="T12" i="5" s="1"/>
  <c r="R12" i="5"/>
  <c r="P12" i="5"/>
  <c r="E12" i="5"/>
  <c r="S11" i="5"/>
  <c r="T11" i="5" s="1"/>
  <c r="R11" i="5"/>
  <c r="P11" i="5"/>
  <c r="K11" i="5"/>
  <c r="E11" i="5"/>
  <c r="S10" i="5"/>
  <c r="T10" i="5" s="1"/>
  <c r="R10" i="5"/>
  <c r="P10" i="5"/>
  <c r="E10" i="5"/>
  <c r="S9" i="5"/>
  <c r="T9" i="5" s="1"/>
  <c r="R9" i="5"/>
  <c r="P9" i="5"/>
  <c r="K9" i="5"/>
  <c r="E9" i="5"/>
  <c r="S8" i="5"/>
  <c r="T8" i="5" s="1"/>
  <c r="R8" i="5"/>
  <c r="P8" i="5"/>
  <c r="E8" i="5"/>
  <c r="S7" i="5"/>
  <c r="T7" i="5" s="1"/>
  <c r="R7" i="5"/>
  <c r="P7" i="5"/>
  <c r="K7" i="5"/>
  <c r="E7" i="5"/>
  <c r="S6" i="5"/>
  <c r="T6" i="5" s="1"/>
  <c r="R6" i="5"/>
  <c r="P6" i="5"/>
  <c r="E6" i="5"/>
  <c r="S5" i="5"/>
  <c r="T5" i="5" s="1"/>
  <c r="R5" i="5"/>
  <c r="P5" i="5"/>
  <c r="J5" i="5"/>
  <c r="E5" i="5"/>
  <c r="S4" i="5"/>
  <c r="T4" i="5" s="1"/>
  <c r="R4" i="5"/>
  <c r="P4" i="5"/>
  <c r="E4" i="5"/>
  <c r="F124" i="6" s="1"/>
  <c r="S3" i="5"/>
  <c r="T3" i="5" s="1"/>
  <c r="R3" i="5"/>
  <c r="P3" i="5"/>
  <c r="J3" i="5"/>
  <c r="E3" i="5"/>
  <c r="S2" i="5"/>
  <c r="T2" i="5" s="1"/>
  <c r="R2" i="5"/>
  <c r="P2" i="5"/>
  <c r="E2" i="5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6" i="3"/>
  <c r="K10" i="5" s="1"/>
  <c r="E6" i="3"/>
  <c r="D6" i="3"/>
  <c r="C6" i="3"/>
  <c r="J23" i="5" s="1"/>
  <c r="F5" i="3"/>
  <c r="K4" i="5" s="1"/>
  <c r="E5" i="3"/>
  <c r="D5" i="3"/>
  <c r="C5" i="3"/>
  <c r="J31" i="5" s="1"/>
  <c r="F4" i="3"/>
  <c r="K20" i="5" s="1"/>
  <c r="E4" i="3"/>
  <c r="D4" i="3"/>
  <c r="C4" i="3"/>
  <c r="J21" i="5" s="1"/>
  <c r="F3" i="3"/>
  <c r="K22" i="5" s="1"/>
  <c r="E3" i="3"/>
  <c r="D3" i="3"/>
  <c r="C3" i="3"/>
  <c r="J19" i="5" s="1"/>
  <c r="F2" i="3"/>
  <c r="K2" i="5" s="1"/>
  <c r="E2" i="3"/>
  <c r="D2" i="3"/>
  <c r="C2" i="3"/>
  <c r="J2" i="5" s="1"/>
  <c r="I366" i="2"/>
  <c r="H366" i="2"/>
  <c r="G366" i="2"/>
  <c r="F366" i="2"/>
  <c r="E366" i="2"/>
  <c r="D366" i="2"/>
  <c r="C366" i="2"/>
  <c r="B366" i="2"/>
  <c r="I365" i="2"/>
  <c r="H365" i="2"/>
  <c r="G365" i="2"/>
  <c r="F365" i="2"/>
  <c r="E365" i="2"/>
  <c r="D365" i="2"/>
  <c r="C365" i="2"/>
  <c r="B365" i="2"/>
  <c r="I364" i="2"/>
  <c r="H364" i="2"/>
  <c r="G364" i="2"/>
  <c r="F364" i="2"/>
  <c r="E364" i="2"/>
  <c r="D364" i="2"/>
  <c r="C364" i="2"/>
  <c r="B364" i="2"/>
  <c r="I363" i="2"/>
  <c r="H363" i="2"/>
  <c r="G363" i="2"/>
  <c r="F363" i="2"/>
  <c r="E363" i="2"/>
  <c r="D363" i="2"/>
  <c r="C363" i="2"/>
  <c r="B363" i="2"/>
  <c r="I362" i="2"/>
  <c r="H362" i="2"/>
  <c r="G362" i="2"/>
  <c r="F362" i="2"/>
  <c r="E362" i="2"/>
  <c r="D362" i="2"/>
  <c r="C362" i="2"/>
  <c r="B362" i="2"/>
  <c r="I361" i="2"/>
  <c r="H361" i="2"/>
  <c r="G361" i="2"/>
  <c r="F361" i="2"/>
  <c r="E361" i="2"/>
  <c r="D361" i="2"/>
  <c r="C361" i="2"/>
  <c r="B361" i="2"/>
  <c r="I360" i="2"/>
  <c r="H360" i="2"/>
  <c r="G360" i="2"/>
  <c r="F360" i="2"/>
  <c r="E360" i="2"/>
  <c r="D360" i="2"/>
  <c r="C360" i="2"/>
  <c r="B360" i="2"/>
  <c r="I359" i="2"/>
  <c r="H359" i="2"/>
  <c r="G359" i="2"/>
  <c r="F359" i="2"/>
  <c r="E359" i="2"/>
  <c r="D359" i="2"/>
  <c r="C359" i="2"/>
  <c r="B359" i="2"/>
  <c r="I358" i="2"/>
  <c r="H358" i="2"/>
  <c r="G358" i="2"/>
  <c r="F358" i="2"/>
  <c r="E358" i="2"/>
  <c r="D358" i="2"/>
  <c r="C358" i="2"/>
  <c r="B358" i="2"/>
  <c r="I357" i="2"/>
  <c r="H357" i="2"/>
  <c r="G357" i="2"/>
  <c r="F357" i="2"/>
  <c r="E357" i="2"/>
  <c r="D357" i="2"/>
  <c r="C357" i="2"/>
  <c r="B357" i="2"/>
  <c r="I356" i="2"/>
  <c r="H356" i="2"/>
  <c r="G356" i="2"/>
  <c r="F356" i="2"/>
  <c r="E356" i="2"/>
  <c r="D356" i="2"/>
  <c r="C356" i="2"/>
  <c r="B356" i="2"/>
  <c r="I355" i="2"/>
  <c r="H355" i="2"/>
  <c r="G355" i="2"/>
  <c r="F355" i="2"/>
  <c r="E355" i="2"/>
  <c r="D355" i="2"/>
  <c r="C355" i="2"/>
  <c r="B355" i="2"/>
  <c r="I354" i="2"/>
  <c r="H354" i="2"/>
  <c r="G354" i="2"/>
  <c r="F354" i="2"/>
  <c r="E354" i="2"/>
  <c r="D354" i="2"/>
  <c r="C354" i="2"/>
  <c r="B354" i="2"/>
  <c r="I353" i="2"/>
  <c r="H353" i="2"/>
  <c r="G353" i="2"/>
  <c r="F353" i="2"/>
  <c r="E353" i="2"/>
  <c r="D353" i="2"/>
  <c r="C353" i="2"/>
  <c r="B353" i="2"/>
  <c r="I352" i="2"/>
  <c r="H352" i="2"/>
  <c r="G352" i="2"/>
  <c r="F352" i="2"/>
  <c r="E352" i="2"/>
  <c r="D352" i="2"/>
  <c r="C352" i="2"/>
  <c r="B352" i="2"/>
  <c r="I351" i="2"/>
  <c r="H351" i="2"/>
  <c r="G351" i="2"/>
  <c r="F351" i="2"/>
  <c r="E351" i="2"/>
  <c r="D351" i="2"/>
  <c r="C351" i="2"/>
  <c r="B351" i="2"/>
  <c r="I350" i="2"/>
  <c r="H350" i="2"/>
  <c r="G350" i="2"/>
  <c r="F350" i="2"/>
  <c r="E350" i="2"/>
  <c r="D350" i="2"/>
  <c r="C350" i="2"/>
  <c r="B350" i="2"/>
  <c r="I349" i="2"/>
  <c r="H349" i="2"/>
  <c r="G349" i="2"/>
  <c r="F349" i="2"/>
  <c r="E349" i="2"/>
  <c r="D349" i="2"/>
  <c r="C349" i="2"/>
  <c r="B349" i="2"/>
  <c r="I348" i="2"/>
  <c r="H348" i="2"/>
  <c r="G348" i="2"/>
  <c r="F348" i="2"/>
  <c r="E348" i="2"/>
  <c r="D348" i="2"/>
  <c r="C348" i="2"/>
  <c r="B348" i="2"/>
  <c r="I347" i="2"/>
  <c r="H347" i="2"/>
  <c r="G347" i="2"/>
  <c r="F347" i="2"/>
  <c r="E347" i="2"/>
  <c r="D347" i="2"/>
  <c r="C347" i="2"/>
  <c r="B347" i="2"/>
  <c r="I346" i="2"/>
  <c r="H346" i="2"/>
  <c r="G346" i="2"/>
  <c r="F346" i="2"/>
  <c r="E346" i="2"/>
  <c r="D346" i="2"/>
  <c r="C346" i="2"/>
  <c r="B346" i="2"/>
  <c r="I345" i="2"/>
  <c r="H345" i="2"/>
  <c r="G345" i="2"/>
  <c r="F345" i="2"/>
  <c r="E345" i="2"/>
  <c r="D345" i="2"/>
  <c r="C345" i="2"/>
  <c r="B345" i="2"/>
  <c r="I344" i="2"/>
  <c r="H344" i="2"/>
  <c r="G344" i="2"/>
  <c r="F344" i="2"/>
  <c r="E344" i="2"/>
  <c r="D344" i="2"/>
  <c r="C344" i="2"/>
  <c r="B344" i="2"/>
  <c r="I343" i="2"/>
  <c r="H343" i="2"/>
  <c r="G343" i="2"/>
  <c r="F343" i="2"/>
  <c r="E343" i="2"/>
  <c r="D343" i="2"/>
  <c r="C343" i="2"/>
  <c r="B343" i="2"/>
  <c r="I342" i="2"/>
  <c r="H342" i="2"/>
  <c r="G342" i="2"/>
  <c r="F342" i="2"/>
  <c r="E342" i="2"/>
  <c r="D342" i="2"/>
  <c r="C342" i="2"/>
  <c r="B342" i="2"/>
  <c r="I341" i="2"/>
  <c r="H341" i="2"/>
  <c r="G341" i="2"/>
  <c r="F341" i="2"/>
  <c r="E341" i="2"/>
  <c r="D341" i="2"/>
  <c r="C341" i="2"/>
  <c r="B341" i="2"/>
  <c r="I340" i="2"/>
  <c r="H340" i="2"/>
  <c r="G340" i="2"/>
  <c r="F340" i="2"/>
  <c r="E340" i="2"/>
  <c r="D340" i="2"/>
  <c r="C340" i="2"/>
  <c r="B340" i="2"/>
  <c r="I339" i="2"/>
  <c r="H339" i="2"/>
  <c r="G339" i="2"/>
  <c r="F339" i="2"/>
  <c r="E339" i="2"/>
  <c r="D339" i="2"/>
  <c r="C339" i="2"/>
  <c r="B339" i="2"/>
  <c r="I338" i="2"/>
  <c r="H338" i="2"/>
  <c r="G338" i="2"/>
  <c r="F338" i="2"/>
  <c r="E338" i="2"/>
  <c r="D338" i="2"/>
  <c r="C338" i="2"/>
  <c r="B338" i="2"/>
  <c r="I337" i="2"/>
  <c r="H337" i="2"/>
  <c r="G337" i="2"/>
  <c r="F337" i="2"/>
  <c r="E337" i="2"/>
  <c r="D337" i="2"/>
  <c r="C337" i="2"/>
  <c r="B337" i="2"/>
  <c r="I336" i="2"/>
  <c r="H336" i="2"/>
  <c r="G336" i="2"/>
  <c r="F336" i="2"/>
  <c r="E336" i="2"/>
  <c r="D336" i="2"/>
  <c r="C336" i="2"/>
  <c r="B336" i="2"/>
  <c r="I335" i="2"/>
  <c r="H335" i="2"/>
  <c r="G335" i="2"/>
  <c r="F335" i="2"/>
  <c r="E335" i="2"/>
  <c r="D335" i="2"/>
  <c r="C335" i="2"/>
  <c r="B335" i="2"/>
  <c r="I334" i="2"/>
  <c r="H334" i="2"/>
  <c r="G334" i="2"/>
  <c r="F334" i="2"/>
  <c r="E334" i="2"/>
  <c r="D334" i="2"/>
  <c r="C334" i="2"/>
  <c r="B334" i="2"/>
  <c r="I333" i="2"/>
  <c r="H333" i="2"/>
  <c r="G333" i="2"/>
  <c r="F333" i="2"/>
  <c r="E333" i="2"/>
  <c r="D333" i="2"/>
  <c r="C333" i="2"/>
  <c r="B333" i="2"/>
  <c r="I332" i="2"/>
  <c r="H332" i="2"/>
  <c r="G332" i="2"/>
  <c r="F332" i="2"/>
  <c r="E332" i="2"/>
  <c r="D332" i="2"/>
  <c r="C332" i="2"/>
  <c r="B332" i="2"/>
  <c r="I331" i="2"/>
  <c r="H331" i="2"/>
  <c r="G331" i="2"/>
  <c r="F331" i="2"/>
  <c r="E331" i="2"/>
  <c r="D331" i="2"/>
  <c r="C331" i="2"/>
  <c r="B331" i="2"/>
  <c r="I330" i="2"/>
  <c r="H330" i="2"/>
  <c r="G330" i="2"/>
  <c r="F330" i="2"/>
  <c r="E330" i="2"/>
  <c r="D330" i="2"/>
  <c r="C330" i="2"/>
  <c r="B330" i="2"/>
  <c r="I329" i="2"/>
  <c r="H329" i="2"/>
  <c r="G329" i="2"/>
  <c r="F329" i="2"/>
  <c r="E329" i="2"/>
  <c r="D329" i="2"/>
  <c r="C329" i="2"/>
  <c r="B329" i="2"/>
  <c r="I328" i="2"/>
  <c r="H328" i="2"/>
  <c r="G328" i="2"/>
  <c r="F328" i="2"/>
  <c r="E328" i="2"/>
  <c r="D328" i="2"/>
  <c r="C328" i="2"/>
  <c r="B328" i="2"/>
  <c r="I327" i="2"/>
  <c r="H327" i="2"/>
  <c r="G327" i="2"/>
  <c r="F327" i="2"/>
  <c r="E327" i="2"/>
  <c r="D327" i="2"/>
  <c r="C327" i="2"/>
  <c r="B327" i="2"/>
  <c r="I326" i="2"/>
  <c r="H326" i="2"/>
  <c r="G326" i="2"/>
  <c r="F326" i="2"/>
  <c r="E326" i="2"/>
  <c r="D326" i="2"/>
  <c r="C326" i="2"/>
  <c r="B326" i="2"/>
  <c r="I325" i="2"/>
  <c r="H325" i="2"/>
  <c r="G325" i="2"/>
  <c r="F325" i="2"/>
  <c r="E325" i="2"/>
  <c r="D325" i="2"/>
  <c r="C325" i="2"/>
  <c r="B325" i="2"/>
  <c r="I324" i="2"/>
  <c r="H324" i="2"/>
  <c r="G324" i="2"/>
  <c r="F324" i="2"/>
  <c r="E324" i="2"/>
  <c r="D324" i="2"/>
  <c r="C324" i="2"/>
  <c r="B324" i="2"/>
  <c r="I323" i="2"/>
  <c r="H323" i="2"/>
  <c r="G323" i="2"/>
  <c r="F323" i="2"/>
  <c r="E323" i="2"/>
  <c r="D323" i="2"/>
  <c r="C323" i="2"/>
  <c r="B323" i="2"/>
  <c r="I322" i="2"/>
  <c r="H322" i="2"/>
  <c r="G322" i="2"/>
  <c r="F322" i="2"/>
  <c r="E322" i="2"/>
  <c r="D322" i="2"/>
  <c r="C322" i="2"/>
  <c r="B322" i="2"/>
  <c r="I321" i="2"/>
  <c r="H321" i="2"/>
  <c r="G321" i="2"/>
  <c r="F321" i="2"/>
  <c r="E321" i="2"/>
  <c r="D321" i="2"/>
  <c r="C321" i="2"/>
  <c r="B321" i="2"/>
  <c r="I320" i="2"/>
  <c r="H320" i="2"/>
  <c r="G320" i="2"/>
  <c r="F320" i="2"/>
  <c r="E320" i="2"/>
  <c r="D320" i="2"/>
  <c r="C320" i="2"/>
  <c r="B320" i="2"/>
  <c r="I319" i="2"/>
  <c r="H319" i="2"/>
  <c r="G319" i="2"/>
  <c r="F319" i="2"/>
  <c r="E319" i="2"/>
  <c r="D319" i="2"/>
  <c r="C319" i="2"/>
  <c r="B319" i="2"/>
  <c r="I318" i="2"/>
  <c r="H318" i="2"/>
  <c r="G318" i="2"/>
  <c r="F318" i="2"/>
  <c r="E318" i="2"/>
  <c r="D318" i="2"/>
  <c r="C318" i="2"/>
  <c r="B318" i="2"/>
  <c r="I317" i="2"/>
  <c r="H317" i="2"/>
  <c r="G317" i="2"/>
  <c r="F317" i="2"/>
  <c r="E317" i="2"/>
  <c r="D317" i="2"/>
  <c r="C317" i="2"/>
  <c r="B317" i="2"/>
  <c r="I316" i="2"/>
  <c r="H316" i="2"/>
  <c r="G316" i="2"/>
  <c r="F316" i="2"/>
  <c r="E316" i="2"/>
  <c r="D316" i="2"/>
  <c r="C316" i="2"/>
  <c r="B316" i="2"/>
  <c r="I315" i="2"/>
  <c r="H315" i="2"/>
  <c r="G315" i="2"/>
  <c r="F315" i="2"/>
  <c r="E315" i="2"/>
  <c r="D315" i="2"/>
  <c r="C315" i="2"/>
  <c r="B315" i="2"/>
  <c r="I314" i="2"/>
  <c r="H314" i="2"/>
  <c r="G314" i="2"/>
  <c r="F314" i="2"/>
  <c r="E314" i="2"/>
  <c r="D314" i="2"/>
  <c r="C314" i="2"/>
  <c r="B314" i="2"/>
  <c r="I313" i="2"/>
  <c r="H313" i="2"/>
  <c r="G313" i="2"/>
  <c r="F313" i="2"/>
  <c r="E313" i="2"/>
  <c r="D313" i="2"/>
  <c r="C313" i="2"/>
  <c r="B313" i="2"/>
  <c r="I312" i="2"/>
  <c r="H312" i="2"/>
  <c r="G312" i="2"/>
  <c r="F312" i="2"/>
  <c r="E312" i="2"/>
  <c r="D312" i="2"/>
  <c r="C312" i="2"/>
  <c r="B312" i="2"/>
  <c r="I311" i="2"/>
  <c r="H311" i="2"/>
  <c r="G311" i="2"/>
  <c r="F311" i="2"/>
  <c r="E311" i="2"/>
  <c r="D311" i="2"/>
  <c r="C311" i="2"/>
  <c r="B311" i="2"/>
  <c r="I310" i="2"/>
  <c r="H310" i="2"/>
  <c r="G310" i="2"/>
  <c r="F310" i="2"/>
  <c r="E310" i="2"/>
  <c r="D310" i="2"/>
  <c r="C310" i="2"/>
  <c r="B310" i="2"/>
  <c r="I309" i="2"/>
  <c r="H309" i="2"/>
  <c r="G309" i="2"/>
  <c r="F309" i="2"/>
  <c r="E309" i="2"/>
  <c r="D309" i="2"/>
  <c r="C309" i="2"/>
  <c r="B309" i="2"/>
  <c r="I308" i="2"/>
  <c r="H308" i="2"/>
  <c r="G308" i="2"/>
  <c r="F308" i="2"/>
  <c r="E308" i="2"/>
  <c r="D308" i="2"/>
  <c r="C308" i="2"/>
  <c r="B308" i="2"/>
  <c r="I307" i="2"/>
  <c r="H307" i="2"/>
  <c r="G307" i="2"/>
  <c r="F307" i="2"/>
  <c r="E307" i="2"/>
  <c r="D307" i="2"/>
  <c r="C307" i="2"/>
  <c r="B307" i="2"/>
  <c r="I306" i="2"/>
  <c r="H306" i="2"/>
  <c r="G306" i="2"/>
  <c r="F306" i="2"/>
  <c r="E306" i="2"/>
  <c r="D306" i="2"/>
  <c r="C306" i="2"/>
  <c r="B306" i="2"/>
  <c r="I305" i="2"/>
  <c r="H305" i="2"/>
  <c r="G305" i="2"/>
  <c r="F305" i="2"/>
  <c r="E305" i="2"/>
  <c r="D305" i="2"/>
  <c r="C305" i="2"/>
  <c r="B305" i="2"/>
  <c r="I304" i="2"/>
  <c r="H304" i="2"/>
  <c r="G304" i="2"/>
  <c r="F304" i="2"/>
  <c r="E304" i="2"/>
  <c r="D304" i="2"/>
  <c r="C304" i="2"/>
  <c r="B304" i="2"/>
  <c r="I303" i="2"/>
  <c r="H303" i="2"/>
  <c r="G303" i="2"/>
  <c r="F303" i="2"/>
  <c r="E303" i="2"/>
  <c r="D303" i="2"/>
  <c r="C303" i="2"/>
  <c r="B303" i="2"/>
  <c r="I302" i="2"/>
  <c r="H302" i="2"/>
  <c r="G302" i="2"/>
  <c r="F302" i="2"/>
  <c r="E302" i="2"/>
  <c r="D302" i="2"/>
  <c r="C302" i="2"/>
  <c r="B302" i="2"/>
  <c r="I301" i="2"/>
  <c r="H301" i="2"/>
  <c r="G301" i="2"/>
  <c r="F301" i="2"/>
  <c r="E301" i="2"/>
  <c r="D301" i="2"/>
  <c r="C301" i="2"/>
  <c r="B301" i="2"/>
  <c r="I300" i="2"/>
  <c r="H300" i="2"/>
  <c r="G300" i="2"/>
  <c r="F300" i="2"/>
  <c r="E300" i="2"/>
  <c r="D300" i="2"/>
  <c r="C300" i="2"/>
  <c r="B300" i="2"/>
  <c r="I299" i="2"/>
  <c r="H299" i="2"/>
  <c r="G299" i="2"/>
  <c r="F299" i="2"/>
  <c r="E299" i="2"/>
  <c r="D299" i="2"/>
  <c r="C299" i="2"/>
  <c r="B299" i="2"/>
  <c r="I298" i="2"/>
  <c r="H298" i="2"/>
  <c r="G298" i="2"/>
  <c r="F298" i="2"/>
  <c r="E298" i="2"/>
  <c r="D298" i="2"/>
  <c r="C298" i="2"/>
  <c r="B298" i="2"/>
  <c r="I297" i="2"/>
  <c r="H297" i="2"/>
  <c r="G297" i="2"/>
  <c r="F297" i="2"/>
  <c r="E297" i="2"/>
  <c r="D297" i="2"/>
  <c r="C297" i="2"/>
  <c r="B297" i="2"/>
  <c r="I296" i="2"/>
  <c r="H296" i="2"/>
  <c r="G296" i="2"/>
  <c r="F296" i="2"/>
  <c r="E296" i="2"/>
  <c r="D296" i="2"/>
  <c r="C296" i="2"/>
  <c r="B296" i="2"/>
  <c r="I295" i="2"/>
  <c r="H295" i="2"/>
  <c r="G295" i="2"/>
  <c r="F295" i="2"/>
  <c r="E295" i="2"/>
  <c r="D295" i="2"/>
  <c r="C295" i="2"/>
  <c r="B295" i="2"/>
  <c r="I294" i="2"/>
  <c r="H294" i="2"/>
  <c r="G294" i="2"/>
  <c r="F294" i="2"/>
  <c r="E294" i="2"/>
  <c r="D294" i="2"/>
  <c r="C294" i="2"/>
  <c r="B294" i="2"/>
  <c r="I293" i="2"/>
  <c r="H293" i="2"/>
  <c r="G293" i="2"/>
  <c r="F293" i="2"/>
  <c r="E293" i="2"/>
  <c r="D293" i="2"/>
  <c r="C293" i="2"/>
  <c r="B293" i="2"/>
  <c r="I292" i="2"/>
  <c r="H292" i="2"/>
  <c r="G292" i="2"/>
  <c r="F292" i="2"/>
  <c r="E292" i="2"/>
  <c r="D292" i="2"/>
  <c r="C292" i="2"/>
  <c r="B292" i="2"/>
  <c r="I291" i="2"/>
  <c r="H291" i="2"/>
  <c r="G291" i="2"/>
  <c r="F291" i="2"/>
  <c r="E291" i="2"/>
  <c r="D291" i="2"/>
  <c r="C291" i="2"/>
  <c r="B291" i="2"/>
  <c r="I290" i="2"/>
  <c r="H290" i="2"/>
  <c r="G290" i="2"/>
  <c r="F290" i="2"/>
  <c r="E290" i="2"/>
  <c r="D290" i="2"/>
  <c r="C290" i="2"/>
  <c r="B290" i="2"/>
  <c r="I289" i="2"/>
  <c r="H289" i="2"/>
  <c r="G289" i="2"/>
  <c r="F289" i="2"/>
  <c r="E289" i="2"/>
  <c r="D289" i="2"/>
  <c r="C289" i="2"/>
  <c r="B289" i="2"/>
  <c r="I288" i="2"/>
  <c r="H288" i="2"/>
  <c r="G288" i="2"/>
  <c r="F288" i="2"/>
  <c r="E288" i="2"/>
  <c r="D288" i="2"/>
  <c r="C288" i="2"/>
  <c r="B288" i="2"/>
  <c r="I287" i="2"/>
  <c r="H287" i="2"/>
  <c r="G287" i="2"/>
  <c r="F287" i="2"/>
  <c r="E287" i="2"/>
  <c r="D287" i="2"/>
  <c r="C287" i="2"/>
  <c r="B287" i="2"/>
  <c r="I286" i="2"/>
  <c r="H286" i="2"/>
  <c r="G286" i="2"/>
  <c r="F286" i="2"/>
  <c r="E286" i="2"/>
  <c r="D286" i="2"/>
  <c r="C286" i="2"/>
  <c r="B286" i="2"/>
  <c r="I285" i="2"/>
  <c r="H285" i="2"/>
  <c r="G285" i="2"/>
  <c r="F285" i="2"/>
  <c r="E285" i="2"/>
  <c r="D285" i="2"/>
  <c r="C285" i="2"/>
  <c r="B285" i="2"/>
  <c r="I284" i="2"/>
  <c r="H284" i="2"/>
  <c r="G284" i="2"/>
  <c r="F284" i="2"/>
  <c r="E284" i="2"/>
  <c r="D284" i="2"/>
  <c r="C284" i="2"/>
  <c r="B284" i="2"/>
  <c r="I283" i="2"/>
  <c r="H283" i="2"/>
  <c r="G283" i="2"/>
  <c r="F283" i="2"/>
  <c r="E283" i="2"/>
  <c r="D283" i="2"/>
  <c r="C283" i="2"/>
  <c r="B283" i="2"/>
  <c r="I282" i="2"/>
  <c r="H282" i="2"/>
  <c r="G282" i="2"/>
  <c r="F282" i="2"/>
  <c r="E282" i="2"/>
  <c r="D282" i="2"/>
  <c r="C282" i="2"/>
  <c r="B282" i="2"/>
  <c r="I281" i="2"/>
  <c r="H281" i="2"/>
  <c r="G281" i="2"/>
  <c r="F281" i="2"/>
  <c r="E281" i="2"/>
  <c r="D281" i="2"/>
  <c r="C281" i="2"/>
  <c r="B281" i="2"/>
  <c r="I280" i="2"/>
  <c r="H280" i="2"/>
  <c r="G280" i="2"/>
  <c r="F280" i="2"/>
  <c r="E280" i="2"/>
  <c r="D280" i="2"/>
  <c r="C280" i="2"/>
  <c r="B280" i="2"/>
  <c r="I279" i="2"/>
  <c r="H279" i="2"/>
  <c r="G279" i="2"/>
  <c r="F279" i="2"/>
  <c r="E279" i="2"/>
  <c r="D279" i="2"/>
  <c r="C279" i="2"/>
  <c r="B279" i="2"/>
  <c r="I278" i="2"/>
  <c r="H278" i="2"/>
  <c r="G278" i="2"/>
  <c r="F278" i="2"/>
  <c r="E278" i="2"/>
  <c r="D278" i="2"/>
  <c r="C278" i="2"/>
  <c r="B278" i="2"/>
  <c r="I277" i="2"/>
  <c r="H277" i="2"/>
  <c r="G277" i="2"/>
  <c r="F277" i="2"/>
  <c r="E277" i="2"/>
  <c r="D277" i="2"/>
  <c r="C277" i="2"/>
  <c r="B277" i="2"/>
  <c r="I276" i="2"/>
  <c r="H276" i="2"/>
  <c r="G276" i="2"/>
  <c r="F276" i="2"/>
  <c r="E276" i="2"/>
  <c r="D276" i="2"/>
  <c r="C276" i="2"/>
  <c r="B276" i="2"/>
  <c r="I275" i="2"/>
  <c r="H275" i="2"/>
  <c r="G275" i="2"/>
  <c r="F275" i="2"/>
  <c r="E275" i="2"/>
  <c r="D275" i="2"/>
  <c r="C275" i="2"/>
  <c r="B275" i="2"/>
  <c r="I274" i="2"/>
  <c r="H274" i="2"/>
  <c r="G274" i="2"/>
  <c r="F274" i="2"/>
  <c r="E274" i="2"/>
  <c r="D274" i="2"/>
  <c r="C274" i="2"/>
  <c r="B274" i="2"/>
  <c r="I273" i="2"/>
  <c r="H273" i="2"/>
  <c r="G273" i="2"/>
  <c r="F273" i="2"/>
  <c r="E273" i="2"/>
  <c r="D273" i="2"/>
  <c r="C273" i="2"/>
  <c r="B273" i="2"/>
  <c r="I272" i="2"/>
  <c r="H272" i="2"/>
  <c r="G272" i="2"/>
  <c r="F272" i="2"/>
  <c r="E272" i="2"/>
  <c r="D272" i="2"/>
  <c r="C272" i="2"/>
  <c r="B272" i="2"/>
  <c r="I271" i="2"/>
  <c r="H271" i="2"/>
  <c r="G271" i="2"/>
  <c r="F271" i="2"/>
  <c r="E271" i="2"/>
  <c r="D271" i="2"/>
  <c r="C271" i="2"/>
  <c r="B271" i="2"/>
  <c r="I270" i="2"/>
  <c r="H270" i="2"/>
  <c r="G270" i="2"/>
  <c r="F270" i="2"/>
  <c r="E270" i="2"/>
  <c r="D270" i="2"/>
  <c r="C270" i="2"/>
  <c r="B270" i="2"/>
  <c r="I269" i="2"/>
  <c r="H269" i="2"/>
  <c r="G269" i="2"/>
  <c r="F269" i="2"/>
  <c r="E269" i="2"/>
  <c r="D269" i="2"/>
  <c r="C269" i="2"/>
  <c r="B269" i="2"/>
  <c r="I268" i="2"/>
  <c r="H268" i="2"/>
  <c r="G268" i="2"/>
  <c r="F268" i="2"/>
  <c r="E268" i="2"/>
  <c r="D268" i="2"/>
  <c r="C268" i="2"/>
  <c r="B268" i="2"/>
  <c r="I267" i="2"/>
  <c r="H267" i="2"/>
  <c r="G267" i="2"/>
  <c r="F267" i="2"/>
  <c r="E267" i="2"/>
  <c r="D267" i="2"/>
  <c r="C267" i="2"/>
  <c r="B267" i="2"/>
  <c r="I266" i="2"/>
  <c r="H266" i="2"/>
  <c r="G266" i="2"/>
  <c r="F266" i="2"/>
  <c r="E266" i="2"/>
  <c r="D266" i="2"/>
  <c r="C266" i="2"/>
  <c r="B266" i="2"/>
  <c r="I265" i="2"/>
  <c r="H265" i="2"/>
  <c r="G265" i="2"/>
  <c r="F265" i="2"/>
  <c r="E265" i="2"/>
  <c r="D265" i="2"/>
  <c r="C265" i="2"/>
  <c r="B265" i="2"/>
  <c r="I264" i="2"/>
  <c r="H264" i="2"/>
  <c r="G264" i="2"/>
  <c r="F264" i="2"/>
  <c r="E264" i="2"/>
  <c r="D264" i="2"/>
  <c r="C264" i="2"/>
  <c r="B264" i="2"/>
  <c r="I263" i="2"/>
  <c r="H263" i="2"/>
  <c r="G263" i="2"/>
  <c r="F263" i="2"/>
  <c r="E263" i="2"/>
  <c r="D263" i="2"/>
  <c r="C263" i="2"/>
  <c r="B263" i="2"/>
  <c r="I262" i="2"/>
  <c r="H262" i="2"/>
  <c r="G262" i="2"/>
  <c r="F262" i="2"/>
  <c r="E262" i="2"/>
  <c r="D262" i="2"/>
  <c r="C262" i="2"/>
  <c r="B262" i="2"/>
  <c r="I261" i="2"/>
  <c r="H261" i="2"/>
  <c r="G261" i="2"/>
  <c r="F261" i="2"/>
  <c r="E261" i="2"/>
  <c r="D261" i="2"/>
  <c r="C261" i="2"/>
  <c r="B261" i="2"/>
  <c r="I260" i="2"/>
  <c r="H260" i="2"/>
  <c r="G260" i="2"/>
  <c r="F260" i="2"/>
  <c r="E260" i="2"/>
  <c r="D260" i="2"/>
  <c r="C260" i="2"/>
  <c r="B260" i="2"/>
  <c r="I259" i="2"/>
  <c r="H259" i="2"/>
  <c r="G259" i="2"/>
  <c r="F259" i="2"/>
  <c r="E259" i="2"/>
  <c r="D259" i="2"/>
  <c r="C259" i="2"/>
  <c r="B259" i="2"/>
  <c r="I258" i="2"/>
  <c r="H258" i="2"/>
  <c r="G258" i="2"/>
  <c r="F258" i="2"/>
  <c r="E258" i="2"/>
  <c r="D258" i="2"/>
  <c r="C258" i="2"/>
  <c r="B258" i="2"/>
  <c r="I257" i="2"/>
  <c r="H257" i="2"/>
  <c r="G257" i="2"/>
  <c r="F257" i="2"/>
  <c r="E257" i="2"/>
  <c r="D257" i="2"/>
  <c r="C257" i="2"/>
  <c r="B257" i="2"/>
  <c r="I256" i="2"/>
  <c r="H256" i="2"/>
  <c r="G256" i="2"/>
  <c r="F256" i="2"/>
  <c r="E256" i="2"/>
  <c r="D256" i="2"/>
  <c r="C256" i="2"/>
  <c r="B256" i="2"/>
  <c r="I255" i="2"/>
  <c r="H255" i="2"/>
  <c r="G255" i="2"/>
  <c r="F255" i="2"/>
  <c r="E255" i="2"/>
  <c r="D255" i="2"/>
  <c r="C255" i="2"/>
  <c r="B255" i="2"/>
  <c r="I254" i="2"/>
  <c r="H254" i="2"/>
  <c r="G254" i="2"/>
  <c r="F254" i="2"/>
  <c r="E254" i="2"/>
  <c r="D254" i="2"/>
  <c r="C254" i="2"/>
  <c r="B254" i="2"/>
  <c r="I253" i="2"/>
  <c r="H253" i="2"/>
  <c r="G253" i="2"/>
  <c r="F253" i="2"/>
  <c r="E253" i="2"/>
  <c r="D253" i="2"/>
  <c r="C253" i="2"/>
  <c r="B253" i="2"/>
  <c r="I252" i="2"/>
  <c r="H252" i="2"/>
  <c r="G252" i="2"/>
  <c r="F252" i="2"/>
  <c r="E252" i="2"/>
  <c r="D252" i="2"/>
  <c r="C252" i="2"/>
  <c r="B252" i="2"/>
  <c r="I251" i="2"/>
  <c r="H251" i="2"/>
  <c r="G251" i="2"/>
  <c r="F251" i="2"/>
  <c r="E251" i="2"/>
  <c r="D251" i="2"/>
  <c r="C251" i="2"/>
  <c r="B251" i="2"/>
  <c r="I250" i="2"/>
  <c r="H250" i="2"/>
  <c r="G250" i="2"/>
  <c r="F250" i="2"/>
  <c r="E250" i="2"/>
  <c r="D250" i="2"/>
  <c r="C250" i="2"/>
  <c r="B250" i="2"/>
  <c r="I249" i="2"/>
  <c r="H249" i="2"/>
  <c r="G249" i="2"/>
  <c r="F249" i="2"/>
  <c r="E249" i="2"/>
  <c r="D249" i="2"/>
  <c r="C249" i="2"/>
  <c r="B249" i="2"/>
  <c r="I248" i="2"/>
  <c r="H248" i="2"/>
  <c r="G248" i="2"/>
  <c r="F248" i="2"/>
  <c r="E248" i="2"/>
  <c r="D248" i="2"/>
  <c r="C248" i="2"/>
  <c r="B248" i="2"/>
  <c r="I247" i="2"/>
  <c r="H247" i="2"/>
  <c r="G247" i="2"/>
  <c r="F247" i="2"/>
  <c r="E247" i="2"/>
  <c r="D247" i="2"/>
  <c r="C247" i="2"/>
  <c r="B247" i="2"/>
  <c r="I246" i="2"/>
  <c r="H246" i="2"/>
  <c r="G246" i="2"/>
  <c r="F246" i="2"/>
  <c r="E246" i="2"/>
  <c r="D246" i="2"/>
  <c r="C246" i="2"/>
  <c r="B246" i="2"/>
  <c r="I245" i="2"/>
  <c r="H245" i="2"/>
  <c r="G245" i="2"/>
  <c r="F245" i="2"/>
  <c r="E245" i="2"/>
  <c r="D245" i="2"/>
  <c r="C245" i="2"/>
  <c r="B245" i="2"/>
  <c r="I244" i="2"/>
  <c r="H244" i="2"/>
  <c r="G244" i="2"/>
  <c r="F244" i="2"/>
  <c r="E244" i="2"/>
  <c r="D244" i="2"/>
  <c r="C244" i="2"/>
  <c r="B244" i="2"/>
  <c r="I243" i="2"/>
  <c r="H243" i="2"/>
  <c r="G243" i="2"/>
  <c r="F243" i="2"/>
  <c r="E243" i="2"/>
  <c r="D243" i="2"/>
  <c r="C243" i="2"/>
  <c r="B243" i="2"/>
  <c r="I242" i="2"/>
  <c r="H242" i="2"/>
  <c r="G242" i="2"/>
  <c r="F242" i="2"/>
  <c r="E242" i="2"/>
  <c r="D242" i="2"/>
  <c r="C242" i="2"/>
  <c r="B242" i="2"/>
  <c r="I241" i="2"/>
  <c r="H241" i="2"/>
  <c r="G241" i="2"/>
  <c r="F241" i="2"/>
  <c r="E241" i="2"/>
  <c r="D241" i="2"/>
  <c r="C241" i="2"/>
  <c r="B241" i="2"/>
  <c r="I240" i="2"/>
  <c r="H240" i="2"/>
  <c r="G240" i="2"/>
  <c r="F240" i="2"/>
  <c r="E240" i="2"/>
  <c r="D240" i="2"/>
  <c r="C240" i="2"/>
  <c r="B240" i="2"/>
  <c r="I239" i="2"/>
  <c r="H239" i="2"/>
  <c r="G239" i="2"/>
  <c r="F239" i="2"/>
  <c r="E239" i="2"/>
  <c r="D239" i="2"/>
  <c r="C239" i="2"/>
  <c r="B239" i="2"/>
  <c r="I238" i="2"/>
  <c r="H238" i="2"/>
  <c r="G238" i="2"/>
  <c r="F238" i="2"/>
  <c r="E238" i="2"/>
  <c r="D238" i="2"/>
  <c r="C238" i="2"/>
  <c r="B238" i="2"/>
  <c r="I237" i="2"/>
  <c r="H237" i="2"/>
  <c r="G237" i="2"/>
  <c r="F237" i="2"/>
  <c r="E237" i="2"/>
  <c r="D237" i="2"/>
  <c r="C237" i="2"/>
  <c r="B237" i="2"/>
  <c r="I236" i="2"/>
  <c r="H236" i="2"/>
  <c r="G236" i="2"/>
  <c r="F236" i="2"/>
  <c r="E236" i="2"/>
  <c r="D236" i="2"/>
  <c r="C236" i="2"/>
  <c r="B236" i="2"/>
  <c r="I235" i="2"/>
  <c r="H235" i="2"/>
  <c r="G235" i="2"/>
  <c r="F235" i="2"/>
  <c r="E235" i="2"/>
  <c r="D235" i="2"/>
  <c r="C235" i="2"/>
  <c r="B235" i="2"/>
  <c r="I234" i="2"/>
  <c r="H234" i="2"/>
  <c r="G234" i="2"/>
  <c r="F234" i="2"/>
  <c r="E234" i="2"/>
  <c r="D234" i="2"/>
  <c r="C234" i="2"/>
  <c r="B234" i="2"/>
  <c r="I233" i="2"/>
  <c r="H233" i="2"/>
  <c r="G233" i="2"/>
  <c r="F233" i="2"/>
  <c r="E233" i="2"/>
  <c r="D233" i="2"/>
  <c r="C233" i="2"/>
  <c r="B233" i="2"/>
  <c r="I232" i="2"/>
  <c r="H232" i="2"/>
  <c r="G232" i="2"/>
  <c r="F232" i="2"/>
  <c r="E232" i="2"/>
  <c r="D232" i="2"/>
  <c r="C232" i="2"/>
  <c r="B232" i="2"/>
  <c r="I231" i="2"/>
  <c r="H231" i="2"/>
  <c r="G231" i="2"/>
  <c r="F231" i="2"/>
  <c r="E231" i="2"/>
  <c r="D231" i="2"/>
  <c r="C231" i="2"/>
  <c r="B231" i="2"/>
  <c r="I230" i="2"/>
  <c r="H230" i="2"/>
  <c r="G230" i="2"/>
  <c r="F230" i="2"/>
  <c r="E230" i="2"/>
  <c r="D230" i="2"/>
  <c r="C230" i="2"/>
  <c r="B230" i="2"/>
  <c r="I229" i="2"/>
  <c r="H229" i="2"/>
  <c r="G229" i="2"/>
  <c r="F229" i="2"/>
  <c r="E229" i="2"/>
  <c r="D229" i="2"/>
  <c r="C229" i="2"/>
  <c r="B229" i="2"/>
  <c r="I228" i="2"/>
  <c r="H228" i="2"/>
  <c r="G228" i="2"/>
  <c r="F228" i="2"/>
  <c r="E228" i="2"/>
  <c r="D228" i="2"/>
  <c r="C228" i="2"/>
  <c r="B228" i="2"/>
  <c r="I227" i="2"/>
  <c r="H227" i="2"/>
  <c r="G227" i="2"/>
  <c r="F227" i="2"/>
  <c r="E227" i="2"/>
  <c r="D227" i="2"/>
  <c r="C227" i="2"/>
  <c r="B227" i="2"/>
  <c r="I226" i="2"/>
  <c r="H226" i="2"/>
  <c r="G226" i="2"/>
  <c r="F226" i="2"/>
  <c r="E226" i="2"/>
  <c r="D226" i="2"/>
  <c r="C226" i="2"/>
  <c r="B226" i="2"/>
  <c r="I225" i="2"/>
  <c r="H225" i="2"/>
  <c r="G225" i="2"/>
  <c r="F225" i="2"/>
  <c r="E225" i="2"/>
  <c r="D225" i="2"/>
  <c r="C225" i="2"/>
  <c r="B225" i="2"/>
  <c r="I224" i="2"/>
  <c r="H224" i="2"/>
  <c r="G224" i="2"/>
  <c r="F224" i="2"/>
  <c r="E224" i="2"/>
  <c r="D224" i="2"/>
  <c r="C224" i="2"/>
  <c r="B224" i="2"/>
  <c r="I223" i="2"/>
  <c r="H223" i="2"/>
  <c r="G223" i="2"/>
  <c r="F223" i="2"/>
  <c r="E223" i="2"/>
  <c r="D223" i="2"/>
  <c r="C223" i="2"/>
  <c r="B223" i="2"/>
  <c r="I222" i="2"/>
  <c r="H222" i="2"/>
  <c r="G222" i="2"/>
  <c r="F222" i="2"/>
  <c r="E222" i="2"/>
  <c r="D222" i="2"/>
  <c r="C222" i="2"/>
  <c r="B222" i="2"/>
  <c r="I221" i="2"/>
  <c r="H221" i="2"/>
  <c r="G221" i="2"/>
  <c r="F221" i="2"/>
  <c r="E221" i="2"/>
  <c r="D221" i="2"/>
  <c r="C221" i="2"/>
  <c r="B221" i="2"/>
  <c r="I220" i="2"/>
  <c r="H220" i="2"/>
  <c r="G220" i="2"/>
  <c r="F220" i="2"/>
  <c r="E220" i="2"/>
  <c r="D220" i="2"/>
  <c r="C220" i="2"/>
  <c r="B220" i="2"/>
  <c r="I219" i="2"/>
  <c r="H219" i="2"/>
  <c r="G219" i="2"/>
  <c r="F219" i="2"/>
  <c r="E219" i="2"/>
  <c r="D219" i="2"/>
  <c r="C219" i="2"/>
  <c r="B219" i="2"/>
  <c r="I218" i="2"/>
  <c r="H218" i="2"/>
  <c r="G218" i="2"/>
  <c r="F218" i="2"/>
  <c r="E218" i="2"/>
  <c r="D218" i="2"/>
  <c r="C218" i="2"/>
  <c r="B218" i="2"/>
  <c r="I217" i="2"/>
  <c r="H217" i="2"/>
  <c r="G217" i="2"/>
  <c r="F217" i="2"/>
  <c r="E217" i="2"/>
  <c r="D217" i="2"/>
  <c r="C217" i="2"/>
  <c r="B217" i="2"/>
  <c r="I216" i="2"/>
  <c r="H216" i="2"/>
  <c r="G216" i="2"/>
  <c r="F216" i="2"/>
  <c r="E216" i="2"/>
  <c r="D216" i="2"/>
  <c r="C216" i="2"/>
  <c r="B216" i="2"/>
  <c r="I215" i="2"/>
  <c r="H215" i="2"/>
  <c r="G215" i="2"/>
  <c r="F215" i="2"/>
  <c r="E215" i="2"/>
  <c r="D215" i="2"/>
  <c r="C215" i="2"/>
  <c r="B215" i="2"/>
  <c r="I214" i="2"/>
  <c r="H214" i="2"/>
  <c r="G214" i="2"/>
  <c r="F214" i="2"/>
  <c r="E214" i="2"/>
  <c r="D214" i="2"/>
  <c r="C214" i="2"/>
  <c r="B214" i="2"/>
  <c r="I213" i="2"/>
  <c r="H213" i="2"/>
  <c r="G213" i="2"/>
  <c r="F213" i="2"/>
  <c r="E213" i="2"/>
  <c r="D213" i="2"/>
  <c r="C213" i="2"/>
  <c r="B213" i="2"/>
  <c r="I212" i="2"/>
  <c r="H212" i="2"/>
  <c r="G212" i="2"/>
  <c r="F212" i="2"/>
  <c r="E212" i="2"/>
  <c r="D212" i="2"/>
  <c r="C212" i="2"/>
  <c r="B212" i="2"/>
  <c r="I211" i="2"/>
  <c r="H211" i="2"/>
  <c r="G211" i="2"/>
  <c r="F211" i="2"/>
  <c r="E211" i="2"/>
  <c r="D211" i="2"/>
  <c r="C211" i="2"/>
  <c r="B211" i="2"/>
  <c r="I210" i="2"/>
  <c r="H210" i="2"/>
  <c r="G210" i="2"/>
  <c r="F210" i="2"/>
  <c r="E210" i="2"/>
  <c r="D210" i="2"/>
  <c r="C210" i="2"/>
  <c r="B210" i="2"/>
  <c r="I209" i="2"/>
  <c r="H209" i="2"/>
  <c r="G209" i="2"/>
  <c r="F209" i="2"/>
  <c r="E209" i="2"/>
  <c r="D209" i="2"/>
  <c r="C209" i="2"/>
  <c r="B209" i="2"/>
  <c r="I208" i="2"/>
  <c r="H208" i="2"/>
  <c r="G208" i="2"/>
  <c r="F208" i="2"/>
  <c r="E208" i="2"/>
  <c r="D208" i="2"/>
  <c r="C208" i="2"/>
  <c r="B208" i="2"/>
  <c r="I207" i="2"/>
  <c r="H207" i="2"/>
  <c r="G207" i="2"/>
  <c r="F207" i="2"/>
  <c r="E207" i="2"/>
  <c r="D207" i="2"/>
  <c r="C207" i="2"/>
  <c r="B207" i="2"/>
  <c r="I206" i="2"/>
  <c r="H206" i="2"/>
  <c r="G206" i="2"/>
  <c r="F206" i="2"/>
  <c r="E206" i="2"/>
  <c r="D206" i="2"/>
  <c r="C206" i="2"/>
  <c r="B206" i="2"/>
  <c r="I205" i="2"/>
  <c r="H205" i="2"/>
  <c r="G205" i="2"/>
  <c r="F205" i="2"/>
  <c r="E205" i="2"/>
  <c r="D205" i="2"/>
  <c r="C205" i="2"/>
  <c r="B205" i="2"/>
  <c r="I204" i="2"/>
  <c r="H204" i="2"/>
  <c r="G204" i="2"/>
  <c r="F204" i="2"/>
  <c r="E204" i="2"/>
  <c r="D204" i="2"/>
  <c r="C204" i="2"/>
  <c r="B204" i="2"/>
  <c r="I203" i="2"/>
  <c r="H203" i="2"/>
  <c r="G203" i="2"/>
  <c r="F203" i="2"/>
  <c r="E203" i="2"/>
  <c r="D203" i="2"/>
  <c r="C203" i="2"/>
  <c r="B203" i="2"/>
  <c r="I202" i="2"/>
  <c r="H202" i="2"/>
  <c r="G202" i="2"/>
  <c r="F202" i="2"/>
  <c r="E202" i="2"/>
  <c r="D202" i="2"/>
  <c r="C202" i="2"/>
  <c r="B202" i="2"/>
  <c r="I201" i="2"/>
  <c r="H201" i="2"/>
  <c r="G201" i="2"/>
  <c r="F201" i="2"/>
  <c r="E201" i="2"/>
  <c r="D201" i="2"/>
  <c r="C201" i="2"/>
  <c r="B201" i="2"/>
  <c r="I200" i="2"/>
  <c r="H200" i="2"/>
  <c r="G200" i="2"/>
  <c r="F200" i="2"/>
  <c r="E200" i="2"/>
  <c r="D200" i="2"/>
  <c r="C200" i="2"/>
  <c r="B200" i="2"/>
  <c r="I199" i="2"/>
  <c r="H199" i="2"/>
  <c r="G199" i="2"/>
  <c r="F199" i="2"/>
  <c r="E199" i="2"/>
  <c r="D199" i="2"/>
  <c r="C199" i="2"/>
  <c r="B199" i="2"/>
  <c r="I198" i="2"/>
  <c r="H198" i="2"/>
  <c r="G198" i="2"/>
  <c r="F198" i="2"/>
  <c r="E198" i="2"/>
  <c r="D198" i="2"/>
  <c r="C198" i="2"/>
  <c r="B198" i="2"/>
  <c r="I197" i="2"/>
  <c r="H197" i="2"/>
  <c r="G197" i="2"/>
  <c r="F197" i="2"/>
  <c r="E197" i="2"/>
  <c r="D197" i="2"/>
  <c r="C197" i="2"/>
  <c r="B197" i="2"/>
  <c r="I196" i="2"/>
  <c r="H196" i="2"/>
  <c r="G196" i="2"/>
  <c r="F196" i="2"/>
  <c r="E196" i="2"/>
  <c r="D196" i="2"/>
  <c r="C196" i="2"/>
  <c r="B196" i="2"/>
  <c r="I195" i="2"/>
  <c r="H195" i="2"/>
  <c r="G195" i="2"/>
  <c r="F195" i="2"/>
  <c r="E195" i="2"/>
  <c r="D195" i="2"/>
  <c r="C195" i="2"/>
  <c r="B195" i="2"/>
  <c r="I194" i="2"/>
  <c r="H194" i="2"/>
  <c r="G194" i="2"/>
  <c r="F194" i="2"/>
  <c r="E194" i="2"/>
  <c r="D194" i="2"/>
  <c r="C194" i="2"/>
  <c r="B194" i="2"/>
  <c r="I193" i="2"/>
  <c r="H193" i="2"/>
  <c r="G193" i="2"/>
  <c r="F193" i="2"/>
  <c r="E193" i="2"/>
  <c r="D193" i="2"/>
  <c r="C193" i="2"/>
  <c r="B193" i="2"/>
  <c r="I192" i="2"/>
  <c r="H192" i="2"/>
  <c r="G192" i="2"/>
  <c r="F192" i="2"/>
  <c r="E192" i="2"/>
  <c r="D192" i="2"/>
  <c r="C192" i="2"/>
  <c r="B192" i="2"/>
  <c r="I191" i="2"/>
  <c r="H191" i="2"/>
  <c r="G191" i="2"/>
  <c r="F191" i="2"/>
  <c r="E191" i="2"/>
  <c r="D191" i="2"/>
  <c r="C191" i="2"/>
  <c r="B191" i="2"/>
  <c r="I190" i="2"/>
  <c r="H190" i="2"/>
  <c r="G190" i="2"/>
  <c r="F190" i="2"/>
  <c r="E190" i="2"/>
  <c r="D190" i="2"/>
  <c r="C190" i="2"/>
  <c r="B190" i="2"/>
  <c r="I189" i="2"/>
  <c r="H189" i="2"/>
  <c r="G189" i="2"/>
  <c r="F189" i="2"/>
  <c r="E189" i="2"/>
  <c r="D189" i="2"/>
  <c r="C189" i="2"/>
  <c r="B189" i="2"/>
  <c r="I188" i="2"/>
  <c r="H188" i="2"/>
  <c r="G188" i="2"/>
  <c r="F188" i="2"/>
  <c r="E188" i="2"/>
  <c r="D188" i="2"/>
  <c r="C188" i="2"/>
  <c r="B188" i="2"/>
  <c r="I187" i="2"/>
  <c r="H187" i="2"/>
  <c r="G187" i="2"/>
  <c r="F187" i="2"/>
  <c r="E187" i="2"/>
  <c r="D187" i="2"/>
  <c r="C187" i="2"/>
  <c r="B187" i="2"/>
  <c r="I186" i="2"/>
  <c r="H186" i="2"/>
  <c r="G186" i="2"/>
  <c r="F186" i="2"/>
  <c r="E186" i="2"/>
  <c r="D186" i="2"/>
  <c r="C186" i="2"/>
  <c r="B186" i="2"/>
  <c r="I185" i="2"/>
  <c r="H185" i="2"/>
  <c r="G185" i="2"/>
  <c r="F185" i="2"/>
  <c r="E185" i="2"/>
  <c r="D185" i="2"/>
  <c r="C185" i="2"/>
  <c r="B185" i="2"/>
  <c r="I184" i="2"/>
  <c r="H184" i="2"/>
  <c r="G184" i="2"/>
  <c r="F184" i="2"/>
  <c r="E184" i="2"/>
  <c r="D184" i="2"/>
  <c r="C184" i="2"/>
  <c r="B184" i="2"/>
  <c r="I183" i="2"/>
  <c r="H183" i="2"/>
  <c r="G183" i="2"/>
  <c r="F183" i="2"/>
  <c r="E183" i="2"/>
  <c r="D183" i="2"/>
  <c r="C183" i="2"/>
  <c r="B183" i="2"/>
  <c r="I182" i="2"/>
  <c r="H182" i="2"/>
  <c r="G182" i="2"/>
  <c r="F182" i="2"/>
  <c r="E182" i="2"/>
  <c r="D182" i="2"/>
  <c r="C182" i="2"/>
  <c r="B182" i="2"/>
  <c r="I181" i="2"/>
  <c r="H181" i="2"/>
  <c r="G181" i="2"/>
  <c r="F181" i="2"/>
  <c r="E181" i="2"/>
  <c r="D181" i="2"/>
  <c r="C181" i="2"/>
  <c r="B181" i="2"/>
  <c r="I180" i="2"/>
  <c r="H180" i="2"/>
  <c r="G180" i="2"/>
  <c r="F180" i="2"/>
  <c r="E180" i="2"/>
  <c r="D180" i="2"/>
  <c r="C180" i="2"/>
  <c r="B180" i="2"/>
  <c r="I179" i="2"/>
  <c r="H179" i="2"/>
  <c r="G179" i="2"/>
  <c r="F179" i="2"/>
  <c r="E179" i="2"/>
  <c r="D179" i="2"/>
  <c r="C179" i="2"/>
  <c r="B179" i="2"/>
  <c r="I178" i="2"/>
  <c r="H178" i="2"/>
  <c r="G178" i="2"/>
  <c r="F178" i="2"/>
  <c r="E178" i="2"/>
  <c r="D178" i="2"/>
  <c r="C178" i="2"/>
  <c r="B178" i="2"/>
  <c r="I177" i="2"/>
  <c r="H177" i="2"/>
  <c r="G177" i="2"/>
  <c r="F177" i="2"/>
  <c r="E177" i="2"/>
  <c r="D177" i="2"/>
  <c r="C177" i="2"/>
  <c r="B177" i="2"/>
  <c r="I176" i="2"/>
  <c r="H176" i="2"/>
  <c r="G176" i="2"/>
  <c r="F176" i="2"/>
  <c r="E176" i="2"/>
  <c r="D176" i="2"/>
  <c r="C176" i="2"/>
  <c r="B176" i="2"/>
  <c r="I175" i="2"/>
  <c r="H175" i="2"/>
  <c r="G175" i="2"/>
  <c r="F175" i="2"/>
  <c r="E175" i="2"/>
  <c r="D175" i="2"/>
  <c r="C175" i="2"/>
  <c r="B175" i="2"/>
  <c r="I174" i="2"/>
  <c r="H174" i="2"/>
  <c r="G174" i="2"/>
  <c r="F174" i="2"/>
  <c r="E174" i="2"/>
  <c r="D174" i="2"/>
  <c r="C174" i="2"/>
  <c r="B174" i="2"/>
  <c r="I173" i="2"/>
  <c r="H173" i="2"/>
  <c r="G173" i="2"/>
  <c r="F173" i="2"/>
  <c r="E173" i="2"/>
  <c r="D173" i="2"/>
  <c r="C173" i="2"/>
  <c r="B173" i="2"/>
  <c r="I172" i="2"/>
  <c r="H172" i="2"/>
  <c r="G172" i="2"/>
  <c r="F172" i="2"/>
  <c r="E172" i="2"/>
  <c r="D172" i="2"/>
  <c r="C172" i="2"/>
  <c r="B172" i="2"/>
  <c r="I171" i="2"/>
  <c r="H171" i="2"/>
  <c r="G171" i="2"/>
  <c r="F171" i="2"/>
  <c r="E171" i="2"/>
  <c r="D171" i="2"/>
  <c r="C171" i="2"/>
  <c r="B171" i="2"/>
  <c r="I170" i="2"/>
  <c r="H170" i="2"/>
  <c r="G170" i="2"/>
  <c r="F170" i="2"/>
  <c r="E170" i="2"/>
  <c r="D170" i="2"/>
  <c r="C170" i="2"/>
  <c r="B170" i="2"/>
  <c r="I169" i="2"/>
  <c r="H169" i="2"/>
  <c r="G169" i="2"/>
  <c r="F169" i="2"/>
  <c r="E169" i="2"/>
  <c r="D169" i="2"/>
  <c r="C169" i="2"/>
  <c r="B169" i="2"/>
  <c r="I168" i="2"/>
  <c r="H168" i="2"/>
  <c r="G168" i="2"/>
  <c r="F168" i="2"/>
  <c r="E168" i="2"/>
  <c r="D168" i="2"/>
  <c r="C168" i="2"/>
  <c r="B168" i="2"/>
  <c r="I167" i="2"/>
  <c r="H167" i="2"/>
  <c r="G167" i="2"/>
  <c r="F167" i="2"/>
  <c r="E167" i="2"/>
  <c r="D167" i="2"/>
  <c r="C167" i="2"/>
  <c r="B167" i="2"/>
  <c r="I166" i="2"/>
  <c r="H166" i="2"/>
  <c r="G166" i="2"/>
  <c r="F166" i="2"/>
  <c r="E166" i="2"/>
  <c r="D166" i="2"/>
  <c r="C166" i="2"/>
  <c r="B166" i="2"/>
  <c r="I165" i="2"/>
  <c r="H165" i="2"/>
  <c r="G165" i="2"/>
  <c r="F165" i="2"/>
  <c r="E165" i="2"/>
  <c r="D165" i="2"/>
  <c r="C165" i="2"/>
  <c r="B165" i="2"/>
  <c r="I164" i="2"/>
  <c r="H164" i="2"/>
  <c r="G164" i="2"/>
  <c r="F164" i="2"/>
  <c r="E164" i="2"/>
  <c r="D164" i="2"/>
  <c r="C164" i="2"/>
  <c r="B164" i="2"/>
  <c r="I163" i="2"/>
  <c r="H163" i="2"/>
  <c r="G163" i="2"/>
  <c r="F163" i="2"/>
  <c r="E163" i="2"/>
  <c r="D163" i="2"/>
  <c r="C163" i="2"/>
  <c r="B163" i="2"/>
  <c r="I162" i="2"/>
  <c r="H162" i="2"/>
  <c r="G162" i="2"/>
  <c r="F162" i="2"/>
  <c r="E162" i="2"/>
  <c r="D162" i="2"/>
  <c r="C162" i="2"/>
  <c r="B162" i="2"/>
  <c r="I161" i="2"/>
  <c r="H161" i="2"/>
  <c r="G161" i="2"/>
  <c r="F161" i="2"/>
  <c r="E161" i="2"/>
  <c r="D161" i="2"/>
  <c r="C161" i="2"/>
  <c r="B161" i="2"/>
  <c r="I160" i="2"/>
  <c r="H160" i="2"/>
  <c r="G160" i="2"/>
  <c r="F160" i="2"/>
  <c r="E160" i="2"/>
  <c r="D160" i="2"/>
  <c r="C160" i="2"/>
  <c r="B160" i="2"/>
  <c r="I159" i="2"/>
  <c r="H159" i="2"/>
  <c r="G159" i="2"/>
  <c r="F159" i="2"/>
  <c r="E159" i="2"/>
  <c r="D159" i="2"/>
  <c r="C159" i="2"/>
  <c r="B159" i="2"/>
  <c r="I158" i="2"/>
  <c r="H158" i="2"/>
  <c r="G158" i="2"/>
  <c r="F158" i="2"/>
  <c r="E158" i="2"/>
  <c r="D158" i="2"/>
  <c r="C158" i="2"/>
  <c r="B158" i="2"/>
  <c r="I157" i="2"/>
  <c r="H157" i="2"/>
  <c r="G157" i="2"/>
  <c r="F157" i="2"/>
  <c r="E157" i="2"/>
  <c r="D157" i="2"/>
  <c r="C157" i="2"/>
  <c r="B157" i="2"/>
  <c r="I156" i="2"/>
  <c r="H156" i="2"/>
  <c r="G156" i="2"/>
  <c r="F156" i="2"/>
  <c r="E156" i="2"/>
  <c r="D156" i="2"/>
  <c r="C156" i="2"/>
  <c r="B156" i="2"/>
  <c r="I155" i="2"/>
  <c r="H155" i="2"/>
  <c r="G155" i="2"/>
  <c r="F155" i="2"/>
  <c r="E155" i="2"/>
  <c r="D155" i="2"/>
  <c r="C155" i="2"/>
  <c r="B155" i="2"/>
  <c r="I154" i="2"/>
  <c r="H154" i="2"/>
  <c r="G154" i="2"/>
  <c r="F154" i="2"/>
  <c r="E154" i="2"/>
  <c r="D154" i="2"/>
  <c r="C154" i="2"/>
  <c r="B154" i="2"/>
  <c r="I153" i="2"/>
  <c r="H153" i="2"/>
  <c r="G153" i="2"/>
  <c r="F153" i="2"/>
  <c r="E153" i="2"/>
  <c r="D153" i="2"/>
  <c r="C153" i="2"/>
  <c r="B153" i="2"/>
  <c r="I152" i="2"/>
  <c r="H152" i="2"/>
  <c r="G152" i="2"/>
  <c r="F152" i="2"/>
  <c r="E152" i="2"/>
  <c r="D152" i="2"/>
  <c r="C152" i="2"/>
  <c r="B152" i="2"/>
  <c r="I151" i="2"/>
  <c r="H151" i="2"/>
  <c r="G151" i="2"/>
  <c r="F151" i="2"/>
  <c r="E151" i="2"/>
  <c r="D151" i="2"/>
  <c r="C151" i="2"/>
  <c r="B151" i="2"/>
  <c r="I150" i="2"/>
  <c r="H150" i="2"/>
  <c r="G150" i="2"/>
  <c r="F150" i="2"/>
  <c r="E150" i="2"/>
  <c r="D150" i="2"/>
  <c r="C150" i="2"/>
  <c r="B150" i="2"/>
  <c r="I149" i="2"/>
  <c r="H149" i="2"/>
  <c r="G149" i="2"/>
  <c r="F149" i="2"/>
  <c r="E149" i="2"/>
  <c r="D149" i="2"/>
  <c r="C149" i="2"/>
  <c r="B149" i="2"/>
  <c r="I148" i="2"/>
  <c r="H148" i="2"/>
  <c r="G148" i="2"/>
  <c r="F148" i="2"/>
  <c r="E148" i="2"/>
  <c r="D148" i="2"/>
  <c r="C148" i="2"/>
  <c r="B148" i="2"/>
  <c r="I147" i="2"/>
  <c r="H147" i="2"/>
  <c r="G147" i="2"/>
  <c r="F147" i="2"/>
  <c r="E147" i="2"/>
  <c r="D147" i="2"/>
  <c r="C147" i="2"/>
  <c r="B147" i="2"/>
  <c r="I146" i="2"/>
  <c r="H146" i="2"/>
  <c r="G146" i="2"/>
  <c r="F146" i="2"/>
  <c r="E146" i="2"/>
  <c r="D146" i="2"/>
  <c r="C146" i="2"/>
  <c r="B146" i="2"/>
  <c r="I145" i="2"/>
  <c r="H145" i="2"/>
  <c r="G145" i="2"/>
  <c r="F145" i="2"/>
  <c r="E145" i="2"/>
  <c r="D145" i="2"/>
  <c r="C145" i="2"/>
  <c r="B145" i="2"/>
  <c r="I144" i="2"/>
  <c r="H144" i="2"/>
  <c r="G144" i="2"/>
  <c r="F144" i="2"/>
  <c r="E144" i="2"/>
  <c r="D144" i="2"/>
  <c r="C144" i="2"/>
  <c r="B144" i="2"/>
  <c r="I143" i="2"/>
  <c r="H143" i="2"/>
  <c r="G143" i="2"/>
  <c r="F143" i="2"/>
  <c r="E143" i="2"/>
  <c r="D143" i="2"/>
  <c r="C143" i="2"/>
  <c r="B143" i="2"/>
  <c r="I142" i="2"/>
  <c r="H142" i="2"/>
  <c r="G142" i="2"/>
  <c r="F142" i="2"/>
  <c r="E142" i="2"/>
  <c r="D142" i="2"/>
  <c r="C142" i="2"/>
  <c r="B142" i="2"/>
  <c r="I141" i="2"/>
  <c r="H141" i="2"/>
  <c r="G141" i="2"/>
  <c r="F141" i="2"/>
  <c r="E141" i="2"/>
  <c r="D141" i="2"/>
  <c r="C141" i="2"/>
  <c r="B141" i="2"/>
  <c r="I140" i="2"/>
  <c r="H140" i="2"/>
  <c r="G140" i="2"/>
  <c r="F140" i="2"/>
  <c r="E140" i="2"/>
  <c r="D140" i="2"/>
  <c r="C140" i="2"/>
  <c r="B140" i="2"/>
  <c r="I139" i="2"/>
  <c r="H139" i="2"/>
  <c r="G139" i="2"/>
  <c r="F139" i="2"/>
  <c r="E139" i="2"/>
  <c r="D139" i="2"/>
  <c r="C139" i="2"/>
  <c r="B139" i="2"/>
  <c r="I138" i="2"/>
  <c r="H138" i="2"/>
  <c r="G138" i="2"/>
  <c r="F138" i="2"/>
  <c r="E138" i="2"/>
  <c r="D138" i="2"/>
  <c r="C138" i="2"/>
  <c r="B138" i="2"/>
  <c r="I137" i="2"/>
  <c r="H137" i="2"/>
  <c r="G137" i="2"/>
  <c r="F137" i="2"/>
  <c r="E137" i="2"/>
  <c r="D137" i="2"/>
  <c r="C137" i="2"/>
  <c r="B137" i="2"/>
  <c r="I136" i="2"/>
  <c r="H136" i="2"/>
  <c r="G136" i="2"/>
  <c r="F136" i="2"/>
  <c r="E136" i="2"/>
  <c r="D136" i="2"/>
  <c r="C136" i="2"/>
  <c r="B136" i="2"/>
  <c r="I135" i="2"/>
  <c r="H135" i="2"/>
  <c r="G135" i="2"/>
  <c r="F135" i="2"/>
  <c r="E135" i="2"/>
  <c r="D135" i="2"/>
  <c r="C135" i="2"/>
  <c r="B135" i="2"/>
  <c r="I134" i="2"/>
  <c r="H134" i="2"/>
  <c r="G134" i="2"/>
  <c r="F134" i="2"/>
  <c r="E134" i="2"/>
  <c r="D134" i="2"/>
  <c r="C134" i="2"/>
  <c r="B134" i="2"/>
  <c r="I133" i="2"/>
  <c r="H133" i="2"/>
  <c r="G133" i="2"/>
  <c r="F133" i="2"/>
  <c r="E133" i="2"/>
  <c r="D133" i="2"/>
  <c r="C133" i="2"/>
  <c r="B133" i="2"/>
  <c r="I132" i="2"/>
  <c r="H132" i="2"/>
  <c r="G132" i="2"/>
  <c r="F132" i="2"/>
  <c r="E132" i="2"/>
  <c r="D132" i="2"/>
  <c r="C132" i="2"/>
  <c r="B132" i="2"/>
  <c r="I131" i="2"/>
  <c r="H131" i="2"/>
  <c r="G131" i="2"/>
  <c r="F131" i="2"/>
  <c r="E131" i="2"/>
  <c r="D131" i="2"/>
  <c r="C131" i="2"/>
  <c r="B131" i="2"/>
  <c r="I130" i="2"/>
  <c r="H130" i="2"/>
  <c r="G130" i="2"/>
  <c r="F130" i="2"/>
  <c r="E130" i="2"/>
  <c r="D130" i="2"/>
  <c r="C130" i="2"/>
  <c r="B130" i="2"/>
  <c r="I129" i="2"/>
  <c r="H129" i="2"/>
  <c r="G129" i="2"/>
  <c r="F129" i="2"/>
  <c r="E129" i="2"/>
  <c r="D129" i="2"/>
  <c r="C129" i="2"/>
  <c r="B129" i="2"/>
  <c r="I128" i="2"/>
  <c r="H128" i="2"/>
  <c r="G128" i="2"/>
  <c r="F128" i="2"/>
  <c r="E128" i="2"/>
  <c r="D128" i="2"/>
  <c r="C128" i="2"/>
  <c r="B128" i="2"/>
  <c r="I127" i="2"/>
  <c r="H127" i="2"/>
  <c r="G127" i="2"/>
  <c r="F127" i="2"/>
  <c r="E127" i="2"/>
  <c r="D127" i="2"/>
  <c r="C127" i="2"/>
  <c r="B127" i="2"/>
  <c r="I126" i="2"/>
  <c r="H126" i="2"/>
  <c r="G126" i="2"/>
  <c r="F126" i="2"/>
  <c r="E126" i="2"/>
  <c r="D126" i="2"/>
  <c r="C126" i="2"/>
  <c r="B126" i="2"/>
  <c r="I125" i="2"/>
  <c r="H125" i="2"/>
  <c r="G125" i="2"/>
  <c r="F125" i="2"/>
  <c r="E125" i="2"/>
  <c r="D125" i="2"/>
  <c r="C125" i="2"/>
  <c r="B125" i="2"/>
  <c r="I124" i="2"/>
  <c r="H124" i="2"/>
  <c r="G124" i="2"/>
  <c r="F124" i="2"/>
  <c r="E124" i="2"/>
  <c r="D124" i="2"/>
  <c r="C124" i="2"/>
  <c r="B124" i="2"/>
  <c r="I123" i="2"/>
  <c r="H123" i="2"/>
  <c r="G123" i="2"/>
  <c r="F123" i="2"/>
  <c r="E123" i="2"/>
  <c r="D123" i="2"/>
  <c r="C123" i="2"/>
  <c r="B123" i="2"/>
  <c r="I122" i="2"/>
  <c r="H122" i="2"/>
  <c r="G122" i="2"/>
  <c r="F122" i="2"/>
  <c r="E122" i="2"/>
  <c r="D122" i="2"/>
  <c r="C122" i="2"/>
  <c r="B122" i="2"/>
  <c r="I121" i="2"/>
  <c r="H121" i="2"/>
  <c r="G121" i="2"/>
  <c r="F121" i="2"/>
  <c r="E121" i="2"/>
  <c r="D121" i="2"/>
  <c r="C121" i="2"/>
  <c r="B121" i="2"/>
  <c r="I120" i="2"/>
  <c r="H120" i="2"/>
  <c r="G120" i="2"/>
  <c r="F120" i="2"/>
  <c r="E120" i="2"/>
  <c r="D120" i="2"/>
  <c r="C120" i="2"/>
  <c r="B120" i="2"/>
  <c r="I119" i="2"/>
  <c r="H119" i="2"/>
  <c r="G119" i="2"/>
  <c r="F119" i="2"/>
  <c r="E119" i="2"/>
  <c r="D119" i="2"/>
  <c r="C119" i="2"/>
  <c r="B119" i="2"/>
  <c r="I118" i="2"/>
  <c r="H118" i="2"/>
  <c r="G118" i="2"/>
  <c r="F118" i="2"/>
  <c r="E118" i="2"/>
  <c r="D118" i="2"/>
  <c r="C118" i="2"/>
  <c r="B118" i="2"/>
  <c r="I117" i="2"/>
  <c r="H117" i="2"/>
  <c r="G117" i="2"/>
  <c r="F117" i="2"/>
  <c r="E117" i="2"/>
  <c r="D117" i="2"/>
  <c r="C117" i="2"/>
  <c r="B117" i="2"/>
  <c r="I116" i="2"/>
  <c r="H116" i="2"/>
  <c r="G116" i="2"/>
  <c r="F116" i="2"/>
  <c r="E116" i="2"/>
  <c r="D116" i="2"/>
  <c r="C116" i="2"/>
  <c r="B116" i="2"/>
  <c r="I115" i="2"/>
  <c r="H115" i="2"/>
  <c r="G115" i="2"/>
  <c r="F115" i="2"/>
  <c r="E115" i="2"/>
  <c r="D115" i="2"/>
  <c r="C115" i="2"/>
  <c r="B115" i="2"/>
  <c r="I114" i="2"/>
  <c r="H114" i="2"/>
  <c r="G114" i="2"/>
  <c r="F114" i="2"/>
  <c r="E114" i="2"/>
  <c r="D114" i="2"/>
  <c r="C114" i="2"/>
  <c r="B114" i="2"/>
  <c r="I113" i="2"/>
  <c r="H113" i="2"/>
  <c r="G113" i="2"/>
  <c r="F113" i="2"/>
  <c r="E113" i="2"/>
  <c r="D113" i="2"/>
  <c r="C113" i="2"/>
  <c r="B113" i="2"/>
  <c r="I112" i="2"/>
  <c r="H112" i="2"/>
  <c r="G112" i="2"/>
  <c r="F112" i="2"/>
  <c r="E112" i="2"/>
  <c r="D112" i="2"/>
  <c r="C112" i="2"/>
  <c r="B112" i="2"/>
  <c r="I111" i="2"/>
  <c r="H111" i="2"/>
  <c r="G111" i="2"/>
  <c r="F111" i="2"/>
  <c r="E111" i="2"/>
  <c r="D111" i="2"/>
  <c r="C111" i="2"/>
  <c r="B111" i="2"/>
  <c r="I110" i="2"/>
  <c r="H110" i="2"/>
  <c r="G110" i="2"/>
  <c r="F110" i="2"/>
  <c r="E110" i="2"/>
  <c r="D110" i="2"/>
  <c r="C110" i="2"/>
  <c r="B110" i="2"/>
  <c r="I109" i="2"/>
  <c r="H109" i="2"/>
  <c r="G109" i="2"/>
  <c r="F109" i="2"/>
  <c r="E109" i="2"/>
  <c r="D109" i="2"/>
  <c r="C109" i="2"/>
  <c r="B109" i="2"/>
  <c r="I108" i="2"/>
  <c r="H108" i="2"/>
  <c r="G108" i="2"/>
  <c r="F108" i="2"/>
  <c r="E108" i="2"/>
  <c r="D108" i="2"/>
  <c r="C108" i="2"/>
  <c r="B108" i="2"/>
  <c r="I107" i="2"/>
  <c r="H107" i="2"/>
  <c r="G107" i="2"/>
  <c r="F107" i="2"/>
  <c r="E107" i="2"/>
  <c r="D107" i="2"/>
  <c r="C107" i="2"/>
  <c r="B107" i="2"/>
  <c r="I106" i="2"/>
  <c r="H106" i="2"/>
  <c r="G106" i="2"/>
  <c r="F106" i="2"/>
  <c r="E106" i="2"/>
  <c r="D106" i="2"/>
  <c r="C106" i="2"/>
  <c r="B106" i="2"/>
  <c r="I105" i="2"/>
  <c r="H105" i="2"/>
  <c r="G105" i="2"/>
  <c r="F105" i="2"/>
  <c r="E105" i="2"/>
  <c r="D105" i="2"/>
  <c r="C105" i="2"/>
  <c r="B105" i="2"/>
  <c r="I104" i="2"/>
  <c r="H104" i="2"/>
  <c r="G104" i="2"/>
  <c r="F104" i="2"/>
  <c r="E104" i="2"/>
  <c r="D104" i="2"/>
  <c r="C104" i="2"/>
  <c r="B104" i="2"/>
  <c r="I103" i="2"/>
  <c r="H103" i="2"/>
  <c r="G103" i="2"/>
  <c r="F103" i="2"/>
  <c r="E103" i="2"/>
  <c r="D103" i="2"/>
  <c r="C103" i="2"/>
  <c r="B103" i="2"/>
  <c r="I102" i="2"/>
  <c r="H102" i="2"/>
  <c r="G102" i="2"/>
  <c r="F102" i="2"/>
  <c r="E102" i="2"/>
  <c r="D102" i="2"/>
  <c r="C102" i="2"/>
  <c r="B102" i="2"/>
  <c r="I101" i="2"/>
  <c r="H101" i="2"/>
  <c r="G101" i="2"/>
  <c r="F101" i="2"/>
  <c r="E101" i="2"/>
  <c r="D101" i="2"/>
  <c r="C101" i="2"/>
  <c r="B101" i="2"/>
  <c r="I100" i="2"/>
  <c r="H100" i="2"/>
  <c r="G100" i="2"/>
  <c r="F100" i="2"/>
  <c r="E100" i="2"/>
  <c r="D100" i="2"/>
  <c r="C100" i="2"/>
  <c r="B100" i="2"/>
  <c r="I99" i="2"/>
  <c r="H99" i="2"/>
  <c r="G99" i="2"/>
  <c r="F99" i="2"/>
  <c r="E99" i="2"/>
  <c r="D99" i="2"/>
  <c r="C99" i="2"/>
  <c r="B99" i="2"/>
  <c r="I98" i="2"/>
  <c r="H98" i="2"/>
  <c r="G98" i="2"/>
  <c r="F98" i="2"/>
  <c r="E98" i="2"/>
  <c r="D98" i="2"/>
  <c r="C98" i="2"/>
  <c r="B98" i="2"/>
  <c r="I97" i="2"/>
  <c r="H97" i="2"/>
  <c r="G97" i="2"/>
  <c r="F97" i="2"/>
  <c r="E97" i="2"/>
  <c r="D97" i="2"/>
  <c r="C97" i="2"/>
  <c r="B97" i="2"/>
  <c r="I96" i="2"/>
  <c r="H96" i="2"/>
  <c r="G96" i="2"/>
  <c r="F96" i="2"/>
  <c r="E96" i="2"/>
  <c r="D96" i="2"/>
  <c r="C96" i="2"/>
  <c r="B96" i="2"/>
  <c r="I95" i="2"/>
  <c r="H95" i="2"/>
  <c r="G95" i="2"/>
  <c r="F95" i="2"/>
  <c r="E95" i="2"/>
  <c r="D95" i="2"/>
  <c r="C95" i="2"/>
  <c r="B95" i="2"/>
  <c r="I94" i="2"/>
  <c r="H94" i="2"/>
  <c r="G94" i="2"/>
  <c r="F94" i="2"/>
  <c r="E94" i="2"/>
  <c r="D94" i="2"/>
  <c r="C94" i="2"/>
  <c r="B94" i="2"/>
  <c r="I93" i="2"/>
  <c r="H93" i="2"/>
  <c r="G93" i="2"/>
  <c r="F93" i="2"/>
  <c r="E93" i="2"/>
  <c r="D93" i="2"/>
  <c r="C93" i="2"/>
  <c r="B93" i="2"/>
  <c r="I92" i="2"/>
  <c r="H92" i="2"/>
  <c r="G92" i="2"/>
  <c r="F92" i="2"/>
  <c r="E92" i="2"/>
  <c r="D92" i="2"/>
  <c r="C92" i="2"/>
  <c r="B92" i="2"/>
  <c r="I91" i="2"/>
  <c r="H91" i="2"/>
  <c r="G91" i="2"/>
  <c r="F91" i="2"/>
  <c r="E91" i="2"/>
  <c r="D91" i="2"/>
  <c r="C91" i="2"/>
  <c r="B91" i="2"/>
  <c r="I90" i="2"/>
  <c r="H90" i="2"/>
  <c r="G90" i="2"/>
  <c r="F90" i="2"/>
  <c r="E90" i="2"/>
  <c r="D90" i="2"/>
  <c r="C90" i="2"/>
  <c r="B90" i="2"/>
  <c r="I89" i="2"/>
  <c r="H89" i="2"/>
  <c r="G89" i="2"/>
  <c r="F89" i="2"/>
  <c r="E89" i="2"/>
  <c r="D89" i="2"/>
  <c r="C89" i="2"/>
  <c r="B89" i="2"/>
  <c r="I88" i="2"/>
  <c r="H88" i="2"/>
  <c r="G88" i="2"/>
  <c r="F88" i="2"/>
  <c r="E88" i="2"/>
  <c r="D88" i="2"/>
  <c r="C88" i="2"/>
  <c r="B88" i="2"/>
  <c r="I87" i="2"/>
  <c r="H87" i="2"/>
  <c r="G87" i="2"/>
  <c r="F87" i="2"/>
  <c r="E87" i="2"/>
  <c r="D87" i="2"/>
  <c r="C87" i="2"/>
  <c r="B87" i="2"/>
  <c r="I86" i="2"/>
  <c r="H86" i="2"/>
  <c r="G86" i="2"/>
  <c r="F86" i="2"/>
  <c r="E86" i="2"/>
  <c r="D86" i="2"/>
  <c r="C86" i="2"/>
  <c r="B86" i="2"/>
  <c r="I85" i="2"/>
  <c r="H85" i="2"/>
  <c r="G85" i="2"/>
  <c r="F85" i="2"/>
  <c r="E85" i="2"/>
  <c r="D85" i="2"/>
  <c r="C85" i="2"/>
  <c r="B85" i="2"/>
  <c r="I84" i="2"/>
  <c r="H84" i="2"/>
  <c r="G84" i="2"/>
  <c r="F84" i="2"/>
  <c r="E84" i="2"/>
  <c r="D84" i="2"/>
  <c r="C84" i="2"/>
  <c r="B84" i="2"/>
  <c r="I83" i="2"/>
  <c r="H83" i="2"/>
  <c r="G83" i="2"/>
  <c r="F83" i="2"/>
  <c r="E83" i="2"/>
  <c r="D83" i="2"/>
  <c r="C83" i="2"/>
  <c r="B83" i="2"/>
  <c r="I82" i="2"/>
  <c r="H82" i="2"/>
  <c r="G82" i="2"/>
  <c r="F82" i="2"/>
  <c r="E82" i="2"/>
  <c r="D82" i="2"/>
  <c r="C82" i="2"/>
  <c r="B82" i="2"/>
  <c r="I81" i="2"/>
  <c r="H81" i="2"/>
  <c r="G81" i="2"/>
  <c r="F81" i="2"/>
  <c r="E81" i="2"/>
  <c r="D81" i="2"/>
  <c r="C81" i="2"/>
  <c r="B81" i="2"/>
  <c r="I80" i="2"/>
  <c r="H80" i="2"/>
  <c r="G80" i="2"/>
  <c r="F80" i="2"/>
  <c r="E80" i="2"/>
  <c r="D80" i="2"/>
  <c r="C80" i="2"/>
  <c r="B80" i="2"/>
  <c r="I79" i="2"/>
  <c r="H79" i="2"/>
  <c r="G79" i="2"/>
  <c r="F79" i="2"/>
  <c r="E79" i="2"/>
  <c r="D79" i="2"/>
  <c r="C79" i="2"/>
  <c r="B79" i="2"/>
  <c r="I78" i="2"/>
  <c r="H78" i="2"/>
  <c r="G78" i="2"/>
  <c r="F78" i="2"/>
  <c r="E78" i="2"/>
  <c r="D78" i="2"/>
  <c r="C78" i="2"/>
  <c r="B78" i="2"/>
  <c r="I77" i="2"/>
  <c r="H77" i="2"/>
  <c r="G77" i="2"/>
  <c r="F77" i="2"/>
  <c r="E77" i="2"/>
  <c r="D77" i="2"/>
  <c r="C77" i="2"/>
  <c r="B77" i="2"/>
  <c r="I76" i="2"/>
  <c r="H76" i="2"/>
  <c r="G76" i="2"/>
  <c r="F76" i="2"/>
  <c r="E76" i="2"/>
  <c r="D76" i="2"/>
  <c r="C76" i="2"/>
  <c r="B76" i="2"/>
  <c r="I75" i="2"/>
  <c r="H75" i="2"/>
  <c r="G75" i="2"/>
  <c r="F75" i="2"/>
  <c r="E75" i="2"/>
  <c r="D75" i="2"/>
  <c r="C75" i="2"/>
  <c r="B75" i="2"/>
  <c r="I74" i="2"/>
  <c r="H74" i="2"/>
  <c r="G74" i="2"/>
  <c r="F74" i="2"/>
  <c r="E74" i="2"/>
  <c r="D74" i="2"/>
  <c r="C74" i="2"/>
  <c r="B74" i="2"/>
  <c r="I73" i="2"/>
  <c r="H73" i="2"/>
  <c r="G73" i="2"/>
  <c r="F73" i="2"/>
  <c r="E73" i="2"/>
  <c r="D73" i="2"/>
  <c r="C73" i="2"/>
  <c r="B73" i="2"/>
  <c r="I72" i="2"/>
  <c r="H72" i="2"/>
  <c r="G72" i="2"/>
  <c r="F72" i="2"/>
  <c r="E72" i="2"/>
  <c r="D72" i="2"/>
  <c r="C72" i="2"/>
  <c r="B72" i="2"/>
  <c r="I71" i="2"/>
  <c r="H71" i="2"/>
  <c r="G71" i="2"/>
  <c r="F71" i="2"/>
  <c r="E71" i="2"/>
  <c r="D71" i="2"/>
  <c r="C71" i="2"/>
  <c r="B71" i="2"/>
  <c r="I70" i="2"/>
  <c r="H70" i="2"/>
  <c r="G70" i="2"/>
  <c r="F70" i="2"/>
  <c r="E70" i="2"/>
  <c r="D70" i="2"/>
  <c r="C70" i="2"/>
  <c r="B70" i="2"/>
  <c r="I69" i="2"/>
  <c r="H69" i="2"/>
  <c r="G69" i="2"/>
  <c r="F69" i="2"/>
  <c r="E69" i="2"/>
  <c r="D69" i="2"/>
  <c r="C69" i="2"/>
  <c r="B69" i="2"/>
  <c r="I68" i="2"/>
  <c r="H68" i="2"/>
  <c r="G68" i="2"/>
  <c r="F68" i="2"/>
  <c r="E68" i="2"/>
  <c r="D68" i="2"/>
  <c r="C68" i="2"/>
  <c r="B68" i="2"/>
  <c r="I67" i="2"/>
  <c r="H67" i="2"/>
  <c r="G67" i="2"/>
  <c r="F67" i="2"/>
  <c r="E67" i="2"/>
  <c r="D67" i="2"/>
  <c r="C67" i="2"/>
  <c r="B67" i="2"/>
  <c r="I66" i="2"/>
  <c r="H66" i="2"/>
  <c r="G66" i="2"/>
  <c r="F66" i="2"/>
  <c r="E66" i="2"/>
  <c r="D66" i="2"/>
  <c r="C66" i="2"/>
  <c r="B66" i="2"/>
  <c r="I65" i="2"/>
  <c r="H65" i="2"/>
  <c r="G65" i="2"/>
  <c r="F65" i="2"/>
  <c r="E65" i="2"/>
  <c r="D65" i="2"/>
  <c r="C65" i="2"/>
  <c r="B65" i="2"/>
  <c r="I64" i="2"/>
  <c r="H64" i="2"/>
  <c r="G64" i="2"/>
  <c r="F64" i="2"/>
  <c r="E64" i="2"/>
  <c r="D64" i="2"/>
  <c r="C64" i="2"/>
  <c r="B64" i="2"/>
  <c r="I63" i="2"/>
  <c r="H63" i="2"/>
  <c r="G63" i="2"/>
  <c r="F63" i="2"/>
  <c r="E63" i="2"/>
  <c r="D63" i="2"/>
  <c r="C63" i="2"/>
  <c r="B63" i="2"/>
  <c r="I62" i="2"/>
  <c r="H62" i="2"/>
  <c r="G62" i="2"/>
  <c r="F62" i="2"/>
  <c r="E62" i="2"/>
  <c r="D62" i="2"/>
  <c r="C62" i="2"/>
  <c r="B62" i="2"/>
  <c r="I61" i="2"/>
  <c r="H61" i="2"/>
  <c r="G61" i="2"/>
  <c r="F61" i="2"/>
  <c r="E61" i="2"/>
  <c r="D61" i="2"/>
  <c r="C61" i="2"/>
  <c r="B61" i="2"/>
  <c r="I60" i="2"/>
  <c r="H60" i="2"/>
  <c r="G60" i="2"/>
  <c r="F60" i="2"/>
  <c r="E60" i="2"/>
  <c r="D60" i="2"/>
  <c r="C60" i="2"/>
  <c r="B60" i="2"/>
  <c r="I59" i="2"/>
  <c r="H59" i="2"/>
  <c r="G59" i="2"/>
  <c r="F59" i="2"/>
  <c r="E59" i="2"/>
  <c r="D59" i="2"/>
  <c r="C59" i="2"/>
  <c r="B59" i="2"/>
  <c r="I58" i="2"/>
  <c r="H58" i="2"/>
  <c r="G58" i="2"/>
  <c r="F58" i="2"/>
  <c r="E58" i="2"/>
  <c r="D58" i="2"/>
  <c r="C58" i="2"/>
  <c r="B58" i="2"/>
  <c r="I57" i="2"/>
  <c r="H57" i="2"/>
  <c r="G57" i="2"/>
  <c r="F57" i="2"/>
  <c r="E57" i="2"/>
  <c r="D57" i="2"/>
  <c r="C57" i="2"/>
  <c r="B57" i="2"/>
  <c r="I56" i="2"/>
  <c r="H56" i="2"/>
  <c r="G56" i="2"/>
  <c r="F56" i="2"/>
  <c r="E56" i="2"/>
  <c r="D56" i="2"/>
  <c r="C56" i="2"/>
  <c r="B56" i="2"/>
  <c r="I55" i="2"/>
  <c r="H55" i="2"/>
  <c r="G55" i="2"/>
  <c r="F55" i="2"/>
  <c r="E55" i="2"/>
  <c r="D55" i="2"/>
  <c r="C55" i="2"/>
  <c r="B55" i="2"/>
  <c r="I54" i="2"/>
  <c r="H54" i="2"/>
  <c r="G54" i="2"/>
  <c r="F54" i="2"/>
  <c r="E54" i="2"/>
  <c r="D54" i="2"/>
  <c r="C54" i="2"/>
  <c r="B54" i="2"/>
  <c r="I53" i="2"/>
  <c r="H53" i="2"/>
  <c r="G53" i="2"/>
  <c r="F53" i="2"/>
  <c r="E53" i="2"/>
  <c r="D53" i="2"/>
  <c r="C53" i="2"/>
  <c r="B53" i="2"/>
  <c r="I52" i="2"/>
  <c r="H52" i="2"/>
  <c r="G52" i="2"/>
  <c r="F52" i="2"/>
  <c r="E52" i="2"/>
  <c r="D52" i="2"/>
  <c r="C52" i="2"/>
  <c r="B52" i="2"/>
  <c r="I51" i="2"/>
  <c r="H51" i="2"/>
  <c r="G51" i="2"/>
  <c r="F51" i="2"/>
  <c r="E51" i="2"/>
  <c r="D51" i="2"/>
  <c r="C51" i="2"/>
  <c r="B51" i="2"/>
  <c r="I50" i="2"/>
  <c r="H50" i="2"/>
  <c r="G50" i="2"/>
  <c r="F50" i="2"/>
  <c r="E50" i="2"/>
  <c r="D50" i="2"/>
  <c r="C50" i="2"/>
  <c r="B50" i="2"/>
  <c r="I49" i="2"/>
  <c r="H49" i="2"/>
  <c r="G49" i="2"/>
  <c r="F49" i="2"/>
  <c r="E49" i="2"/>
  <c r="D49" i="2"/>
  <c r="C49" i="2"/>
  <c r="B49" i="2"/>
  <c r="I48" i="2"/>
  <c r="H48" i="2"/>
  <c r="G48" i="2"/>
  <c r="F48" i="2"/>
  <c r="E48" i="2"/>
  <c r="D48" i="2"/>
  <c r="C48" i="2"/>
  <c r="B48" i="2"/>
  <c r="I47" i="2"/>
  <c r="H47" i="2"/>
  <c r="G47" i="2"/>
  <c r="F47" i="2"/>
  <c r="E47" i="2"/>
  <c r="D47" i="2"/>
  <c r="C47" i="2"/>
  <c r="B47" i="2"/>
  <c r="I46" i="2"/>
  <c r="H46" i="2"/>
  <c r="G46" i="2"/>
  <c r="F46" i="2"/>
  <c r="E46" i="2"/>
  <c r="D46" i="2"/>
  <c r="C46" i="2"/>
  <c r="B46" i="2"/>
  <c r="I45" i="2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I43" i="2"/>
  <c r="H43" i="2"/>
  <c r="G43" i="2"/>
  <c r="F43" i="2"/>
  <c r="E43" i="2"/>
  <c r="D43" i="2"/>
  <c r="C43" i="2"/>
  <c r="B43" i="2"/>
  <c r="I42" i="2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I40" i="2"/>
  <c r="H40" i="2"/>
  <c r="G40" i="2"/>
  <c r="F40" i="2"/>
  <c r="E40" i="2"/>
  <c r="D40" i="2"/>
  <c r="C40" i="2"/>
  <c r="B40" i="2"/>
  <c r="I39" i="2"/>
  <c r="H39" i="2"/>
  <c r="G39" i="2"/>
  <c r="F39" i="2"/>
  <c r="E39" i="2"/>
  <c r="D39" i="2"/>
  <c r="C39" i="2"/>
  <c r="B39" i="2"/>
  <c r="I38" i="2"/>
  <c r="H38" i="2"/>
  <c r="G38" i="2"/>
  <c r="F38" i="2"/>
  <c r="E38" i="2"/>
  <c r="D38" i="2"/>
  <c r="C38" i="2"/>
  <c r="B38" i="2"/>
  <c r="I37" i="2"/>
  <c r="H37" i="2"/>
  <c r="G37" i="2"/>
  <c r="F37" i="2"/>
  <c r="E37" i="2"/>
  <c r="D37" i="2"/>
  <c r="C37" i="2"/>
  <c r="B37" i="2"/>
  <c r="I36" i="2"/>
  <c r="H36" i="2"/>
  <c r="G36" i="2"/>
  <c r="F36" i="2"/>
  <c r="E36" i="2"/>
  <c r="D36" i="2"/>
  <c r="C36" i="2"/>
  <c r="B36" i="2"/>
  <c r="I35" i="2"/>
  <c r="H35" i="2"/>
  <c r="G35" i="2"/>
  <c r="F35" i="2"/>
  <c r="E35" i="2"/>
  <c r="D35" i="2"/>
  <c r="C35" i="2"/>
  <c r="B35" i="2"/>
  <c r="I34" i="2"/>
  <c r="H34" i="2"/>
  <c r="G34" i="2"/>
  <c r="F34" i="2"/>
  <c r="E34" i="2"/>
  <c r="D34" i="2"/>
  <c r="C34" i="2"/>
  <c r="B34" i="2"/>
  <c r="I33" i="2"/>
  <c r="H33" i="2"/>
  <c r="G33" i="2"/>
  <c r="F33" i="2"/>
  <c r="E33" i="2"/>
  <c r="D33" i="2"/>
  <c r="C33" i="2"/>
  <c r="B33" i="2"/>
  <c r="I32" i="2"/>
  <c r="H32" i="2"/>
  <c r="G32" i="2"/>
  <c r="F32" i="2"/>
  <c r="E32" i="2"/>
  <c r="D32" i="2"/>
  <c r="C32" i="2"/>
  <c r="B32" i="2"/>
  <c r="I31" i="2"/>
  <c r="H31" i="2"/>
  <c r="G31" i="2"/>
  <c r="F31" i="2"/>
  <c r="E31" i="2"/>
  <c r="D31" i="2"/>
  <c r="C31" i="2"/>
  <c r="B31" i="2"/>
  <c r="I30" i="2"/>
  <c r="H30" i="2"/>
  <c r="G30" i="2"/>
  <c r="F30" i="2"/>
  <c r="E30" i="2"/>
  <c r="D30" i="2"/>
  <c r="C30" i="2"/>
  <c r="B30" i="2"/>
  <c r="I29" i="2"/>
  <c r="H29" i="2"/>
  <c r="G29" i="2"/>
  <c r="F29" i="2"/>
  <c r="E29" i="2"/>
  <c r="D29" i="2"/>
  <c r="C29" i="2"/>
  <c r="B29" i="2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D27" i="2"/>
  <c r="C27" i="2"/>
  <c r="B27" i="2"/>
  <c r="I26" i="2"/>
  <c r="H26" i="2"/>
  <c r="G26" i="2"/>
  <c r="F26" i="2"/>
  <c r="E26" i="2"/>
  <c r="D26" i="2"/>
  <c r="C26" i="2"/>
  <c r="B26" i="2"/>
  <c r="I25" i="2"/>
  <c r="H25" i="2"/>
  <c r="G25" i="2"/>
  <c r="F25" i="2"/>
  <c r="E25" i="2"/>
  <c r="D25" i="2"/>
  <c r="C25" i="2"/>
  <c r="B25" i="2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I12" i="2"/>
  <c r="H12" i="2"/>
  <c r="G12" i="2"/>
  <c r="F12" i="2"/>
  <c r="E12" i="2"/>
  <c r="D12" i="2"/>
  <c r="C12" i="2"/>
  <c r="B12" i="2"/>
  <c r="I11" i="2"/>
  <c r="H11" i="2"/>
  <c r="G11" i="2"/>
  <c r="F11" i="2"/>
  <c r="E11" i="2"/>
  <c r="D11" i="2"/>
  <c r="C11" i="2"/>
  <c r="B11" i="2"/>
  <c r="I10" i="2"/>
  <c r="H10" i="2"/>
  <c r="G10" i="2"/>
  <c r="F10" i="2"/>
  <c r="E10" i="2"/>
  <c r="D10" i="2"/>
  <c r="C10" i="2"/>
  <c r="B10" i="2"/>
  <c r="I9" i="2"/>
  <c r="H9" i="2"/>
  <c r="G9" i="2"/>
  <c r="F9" i="2"/>
  <c r="E9" i="2"/>
  <c r="D9" i="2"/>
  <c r="C9" i="2"/>
  <c r="B9" i="2"/>
  <c r="I8" i="2"/>
  <c r="H8" i="2"/>
  <c r="G8" i="2"/>
  <c r="F8" i="2"/>
  <c r="E8" i="2"/>
  <c r="D8" i="2"/>
  <c r="C8" i="2"/>
  <c r="B8" i="2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I2" i="2"/>
  <c r="H2" i="2"/>
  <c r="G2" i="2"/>
  <c r="F2" i="2"/>
  <c r="E2" i="2"/>
  <c r="D2" i="2"/>
  <c r="C2" i="2"/>
  <c r="B2" i="2"/>
  <c r="N152" i="6" l="1"/>
  <c r="N122" i="6"/>
  <c r="N2" i="6"/>
  <c r="P2" i="6" s="1"/>
  <c r="L2" i="5"/>
  <c r="N62" i="6"/>
  <c r="N92" i="6"/>
  <c r="N32" i="6"/>
  <c r="N139" i="6"/>
  <c r="N169" i="6"/>
  <c r="N109" i="6"/>
  <c r="N79" i="6"/>
  <c r="N49" i="6"/>
  <c r="N19" i="6"/>
  <c r="L19" i="5"/>
  <c r="N171" i="6"/>
  <c r="N141" i="6"/>
  <c r="N111" i="6"/>
  <c r="N81" i="6"/>
  <c r="N21" i="6"/>
  <c r="L21" i="5"/>
  <c r="N51" i="6"/>
  <c r="N181" i="6"/>
  <c r="N151" i="6"/>
  <c r="N121" i="6"/>
  <c r="N91" i="6"/>
  <c r="N31" i="6"/>
  <c r="L31" i="5"/>
  <c r="N61" i="6"/>
  <c r="P61" i="6" s="1"/>
  <c r="N143" i="6"/>
  <c r="N113" i="6"/>
  <c r="N173" i="6"/>
  <c r="N83" i="6"/>
  <c r="N23" i="6"/>
  <c r="L23" i="5"/>
  <c r="N53" i="6"/>
  <c r="O34" i="6"/>
  <c r="G64" i="6"/>
  <c r="L64" i="6" s="1"/>
  <c r="M34" i="6"/>
  <c r="O38" i="6"/>
  <c r="M38" i="6"/>
  <c r="G68" i="6"/>
  <c r="L68" i="6" s="1"/>
  <c r="O42" i="6"/>
  <c r="G72" i="6"/>
  <c r="L72" i="6" s="1"/>
  <c r="M42" i="6"/>
  <c r="G75" i="6"/>
  <c r="L75" i="6" s="1"/>
  <c r="M45" i="6"/>
  <c r="O45" i="6"/>
  <c r="G83" i="6"/>
  <c r="L83" i="6" s="1"/>
  <c r="M53" i="6"/>
  <c r="P53" i="6"/>
  <c r="O53" i="6"/>
  <c r="G91" i="6"/>
  <c r="L91" i="6" s="1"/>
  <c r="M61" i="6"/>
  <c r="O61" i="6"/>
  <c r="N153" i="6"/>
  <c r="N63" i="6"/>
  <c r="N125" i="6"/>
  <c r="N5" i="6"/>
  <c r="P5" i="6" s="1"/>
  <c r="M46" i="6"/>
  <c r="G76" i="6"/>
  <c r="L76" i="6" s="1"/>
  <c r="O46" i="6"/>
  <c r="G78" i="6"/>
  <c r="L78" i="6" s="1"/>
  <c r="O48" i="6"/>
  <c r="M54" i="6"/>
  <c r="G84" i="6"/>
  <c r="L84" i="6" s="1"/>
  <c r="O54" i="6"/>
  <c r="G86" i="6"/>
  <c r="L86" i="6" s="1"/>
  <c r="O56" i="6"/>
  <c r="G69" i="6"/>
  <c r="L69" i="6" s="1"/>
  <c r="M39" i="6"/>
  <c r="P39" i="6"/>
  <c r="O44" i="6"/>
  <c r="G74" i="6"/>
  <c r="L74" i="6" s="1"/>
  <c r="M44" i="6"/>
  <c r="O60" i="6"/>
  <c r="M60" i="6"/>
  <c r="G90" i="6"/>
  <c r="L90" i="6" s="1"/>
  <c r="G118" i="6"/>
  <c r="L118" i="6" s="1"/>
  <c r="O88" i="6"/>
  <c r="M88" i="6"/>
  <c r="K3" i="5"/>
  <c r="N123" i="6" s="1"/>
  <c r="K5" i="5"/>
  <c r="N95" i="6" s="1"/>
  <c r="J6" i="5"/>
  <c r="J8" i="5"/>
  <c r="J10" i="5"/>
  <c r="J12" i="5"/>
  <c r="J14" i="5"/>
  <c r="J16" i="5"/>
  <c r="J18" i="5"/>
  <c r="J20" i="5"/>
  <c r="J22" i="5"/>
  <c r="J24" i="5"/>
  <c r="J26" i="5"/>
  <c r="J28" i="5"/>
  <c r="J30" i="5"/>
  <c r="M35" i="6"/>
  <c r="G65" i="6"/>
  <c r="L65" i="6" s="1"/>
  <c r="O39" i="6"/>
  <c r="M48" i="6"/>
  <c r="G85" i="6"/>
  <c r="L85" i="6" s="1"/>
  <c r="O55" i="6"/>
  <c r="M55" i="6"/>
  <c r="O58" i="6"/>
  <c r="M58" i="6"/>
  <c r="J4" i="5"/>
  <c r="K6" i="5"/>
  <c r="K8" i="5"/>
  <c r="K12" i="5"/>
  <c r="K14" i="5"/>
  <c r="K16" i="5"/>
  <c r="K18" i="5"/>
  <c r="K24" i="5"/>
  <c r="K26" i="5"/>
  <c r="K28" i="5"/>
  <c r="K30" i="5"/>
  <c r="G63" i="6"/>
  <c r="L63" i="6" s="1"/>
  <c r="O33" i="6"/>
  <c r="G67" i="6"/>
  <c r="L67" i="6" s="1"/>
  <c r="O37" i="6"/>
  <c r="G71" i="6"/>
  <c r="L71" i="6" s="1"/>
  <c r="O41" i="6"/>
  <c r="O43" i="6"/>
  <c r="G73" i="6"/>
  <c r="L73" i="6" s="1"/>
  <c r="M43" i="6"/>
  <c r="O51" i="6"/>
  <c r="G81" i="6"/>
  <c r="L81" i="6" s="1"/>
  <c r="M51" i="6"/>
  <c r="P51" i="6"/>
  <c r="G89" i="6"/>
  <c r="L89" i="6" s="1"/>
  <c r="O59" i="6"/>
  <c r="M59" i="6"/>
  <c r="M33" i="6"/>
  <c r="O35" i="6"/>
  <c r="O52" i="6"/>
  <c r="G82" i="6"/>
  <c r="L82" i="6" s="1"/>
  <c r="M52" i="6"/>
  <c r="J7" i="5"/>
  <c r="J9" i="5"/>
  <c r="J11" i="5"/>
  <c r="J13" i="5"/>
  <c r="J15" i="5"/>
  <c r="J17" i="5"/>
  <c r="J25" i="5"/>
  <c r="J27" i="5"/>
  <c r="J29" i="5"/>
  <c r="M2" i="6"/>
  <c r="G32" i="6"/>
  <c r="L32" i="6" s="1"/>
  <c r="O47" i="6"/>
  <c r="G77" i="6"/>
  <c r="L77" i="6" s="1"/>
  <c r="M47" i="6"/>
  <c r="P50" i="6"/>
  <c r="O50" i="6"/>
  <c r="G80" i="6"/>
  <c r="L80" i="6" s="1"/>
  <c r="M50" i="6"/>
  <c r="M56" i="6"/>
  <c r="P17" i="6"/>
  <c r="P19" i="6"/>
  <c r="P21" i="6"/>
  <c r="P23" i="6"/>
  <c r="P30" i="6"/>
  <c r="P31" i="6"/>
  <c r="G36" i="6"/>
  <c r="L36" i="6" s="1"/>
  <c r="G40" i="6"/>
  <c r="L40" i="6" s="1"/>
  <c r="G49" i="6"/>
  <c r="L49" i="6" s="1"/>
  <c r="G57" i="6"/>
  <c r="L57" i="6" s="1"/>
  <c r="F152" i="6"/>
  <c r="F122" i="6"/>
  <c r="F92" i="6"/>
  <c r="F153" i="6"/>
  <c r="F123" i="6"/>
  <c r="F93" i="6"/>
  <c r="F154" i="6"/>
  <c r="F94" i="6"/>
  <c r="F64" i="6"/>
  <c r="F155" i="6"/>
  <c r="F125" i="6"/>
  <c r="F156" i="6"/>
  <c r="F126" i="6"/>
  <c r="F96" i="6"/>
  <c r="F157" i="6"/>
  <c r="F127" i="6"/>
  <c r="F158" i="6"/>
  <c r="F98" i="6"/>
  <c r="F68" i="6"/>
  <c r="F159" i="6"/>
  <c r="F129" i="6"/>
  <c r="F160" i="6"/>
  <c r="F130" i="6"/>
  <c r="F100" i="6"/>
  <c r="F161" i="6"/>
  <c r="F131" i="6"/>
  <c r="F102" i="6"/>
  <c r="F162" i="6"/>
  <c r="F72" i="6"/>
  <c r="F163" i="6"/>
  <c r="F103" i="6"/>
  <c r="F133" i="6"/>
  <c r="F164" i="6"/>
  <c r="F134" i="6"/>
  <c r="F44" i="6"/>
  <c r="F74" i="6"/>
  <c r="F165" i="6"/>
  <c r="F135" i="6"/>
  <c r="F106" i="6"/>
  <c r="F166" i="6"/>
  <c r="F76" i="6"/>
  <c r="F167" i="6"/>
  <c r="F137" i="6"/>
  <c r="F168" i="6"/>
  <c r="F138" i="6"/>
  <c r="F48" i="6"/>
  <c r="F108" i="6"/>
  <c r="F78" i="6"/>
  <c r="F169" i="6"/>
  <c r="F139" i="6"/>
  <c r="F109" i="6"/>
  <c r="F140" i="6"/>
  <c r="F170" i="6"/>
  <c r="F110" i="6"/>
  <c r="F80" i="6"/>
  <c r="F141" i="6"/>
  <c r="F111" i="6"/>
  <c r="F171" i="6"/>
  <c r="F172" i="6"/>
  <c r="F52" i="6"/>
  <c r="F82" i="6"/>
  <c r="F173" i="6"/>
  <c r="F143" i="6"/>
  <c r="F113" i="6"/>
  <c r="F144" i="6"/>
  <c r="F174" i="6"/>
  <c r="F114" i="6"/>
  <c r="F84" i="6"/>
  <c r="F175" i="6"/>
  <c r="F145" i="6"/>
  <c r="F115" i="6"/>
  <c r="F85" i="6"/>
  <c r="F176" i="6"/>
  <c r="F146" i="6"/>
  <c r="F86" i="6"/>
  <c r="F56" i="6"/>
  <c r="F147" i="6"/>
  <c r="F177" i="6"/>
  <c r="F117" i="6"/>
  <c r="F148" i="6"/>
  <c r="F118" i="6"/>
  <c r="F178" i="6"/>
  <c r="F88" i="6"/>
  <c r="F149" i="6"/>
  <c r="F179" i="6"/>
  <c r="F119" i="6"/>
  <c r="F89" i="6"/>
  <c r="F180" i="6"/>
  <c r="F90" i="6"/>
  <c r="F150" i="6"/>
  <c r="F60" i="6"/>
  <c r="F181" i="6"/>
  <c r="F151" i="6"/>
  <c r="F121" i="6"/>
  <c r="M3" i="6"/>
  <c r="M4" i="6"/>
  <c r="M7" i="6"/>
  <c r="M8" i="6"/>
  <c r="M11" i="6"/>
  <c r="M12" i="6"/>
  <c r="M13" i="6"/>
  <c r="M15" i="6"/>
  <c r="M16" i="6"/>
  <c r="M17" i="6"/>
  <c r="M18" i="6"/>
  <c r="M21" i="6"/>
  <c r="M23" i="6"/>
  <c r="M24" i="6"/>
  <c r="M25" i="6"/>
  <c r="M26" i="6"/>
  <c r="M29" i="6"/>
  <c r="M31" i="6"/>
  <c r="F34" i="6"/>
  <c r="F38" i="6"/>
  <c r="F42" i="6"/>
  <c r="F45" i="6"/>
  <c r="F53" i="6"/>
  <c r="F61" i="6"/>
  <c r="F69" i="6"/>
  <c r="F95" i="6"/>
  <c r="F105" i="6"/>
  <c r="F107" i="6"/>
  <c r="F112" i="6"/>
  <c r="F128" i="6"/>
  <c r="F142" i="6"/>
  <c r="F35" i="6"/>
  <c r="F39" i="6"/>
  <c r="F47" i="6"/>
  <c r="F50" i="6"/>
  <c r="F55" i="6"/>
  <c r="F58" i="6"/>
  <c r="F63" i="6"/>
  <c r="F66" i="6"/>
  <c r="F91" i="6"/>
  <c r="F116" i="6"/>
  <c r="F132" i="6"/>
  <c r="R5" i="6" l="1"/>
  <c r="Q5" i="6"/>
  <c r="Q61" i="6"/>
  <c r="R61" i="6"/>
  <c r="N165" i="6"/>
  <c r="N105" i="6"/>
  <c r="N135" i="6"/>
  <c r="N75" i="6"/>
  <c r="P75" i="6" s="1"/>
  <c r="N15" i="6"/>
  <c r="P15" i="6" s="1"/>
  <c r="L15" i="5"/>
  <c r="N45" i="6"/>
  <c r="P45" i="6" s="1"/>
  <c r="M73" i="6"/>
  <c r="O73" i="6"/>
  <c r="G103" i="6"/>
  <c r="L103" i="6" s="1"/>
  <c r="N164" i="6"/>
  <c r="N134" i="6"/>
  <c r="N44" i="6"/>
  <c r="P44" i="6" s="1"/>
  <c r="N74" i="6"/>
  <c r="P74" i="6" s="1"/>
  <c r="N14" i="6"/>
  <c r="P14" i="6" s="1"/>
  <c r="L14" i="5"/>
  <c r="N104" i="6"/>
  <c r="G113" i="6"/>
  <c r="L113" i="6" s="1"/>
  <c r="M83" i="6"/>
  <c r="P83" i="6"/>
  <c r="O83" i="6"/>
  <c r="M40" i="6"/>
  <c r="G70" i="6"/>
  <c r="L70" i="6" s="1"/>
  <c r="P40" i="6"/>
  <c r="O40" i="6"/>
  <c r="R21" i="6"/>
  <c r="Q21" i="6"/>
  <c r="R17" i="6"/>
  <c r="Q17" i="6"/>
  <c r="R50" i="6"/>
  <c r="Q50" i="6"/>
  <c r="N177" i="6"/>
  <c r="N147" i="6"/>
  <c r="N117" i="6"/>
  <c r="N87" i="6"/>
  <c r="N57" i="6"/>
  <c r="P57" i="6" s="1"/>
  <c r="N27" i="6"/>
  <c r="P27" i="6" s="1"/>
  <c r="L27" i="5"/>
  <c r="N163" i="6"/>
  <c r="N133" i="6"/>
  <c r="N103" i="6"/>
  <c r="N73" i="6"/>
  <c r="P73" i="6" s="1"/>
  <c r="N13" i="6"/>
  <c r="P13" i="6" s="1"/>
  <c r="L13" i="5"/>
  <c r="N43" i="6"/>
  <c r="P43" i="6" s="1"/>
  <c r="O89" i="6"/>
  <c r="M89" i="6"/>
  <c r="G119" i="6"/>
  <c r="L119" i="6" s="1"/>
  <c r="N154" i="6"/>
  <c r="N124" i="6"/>
  <c r="N94" i="6"/>
  <c r="N64" i="6"/>
  <c r="P64" i="6" s="1"/>
  <c r="N4" i="6"/>
  <c r="P4" i="6" s="1"/>
  <c r="N34" i="6"/>
  <c r="P34" i="6" s="1"/>
  <c r="L4" i="5"/>
  <c r="O85" i="6"/>
  <c r="M85" i="6"/>
  <c r="G115" i="6"/>
  <c r="L115" i="6" s="1"/>
  <c r="N178" i="6"/>
  <c r="N148" i="6"/>
  <c r="N118" i="6"/>
  <c r="N28" i="6"/>
  <c r="P28" i="6" s="1"/>
  <c r="N58" i="6"/>
  <c r="P58" i="6" s="1"/>
  <c r="L28" i="5"/>
  <c r="N88" i="6"/>
  <c r="P88" i="6" s="1"/>
  <c r="N170" i="6"/>
  <c r="N140" i="6"/>
  <c r="N110" i="6"/>
  <c r="N80" i="6"/>
  <c r="N20" i="6"/>
  <c r="P20" i="6" s="1"/>
  <c r="N50" i="6"/>
  <c r="L20" i="5"/>
  <c r="N162" i="6"/>
  <c r="N102" i="6"/>
  <c r="N132" i="6"/>
  <c r="N72" i="6"/>
  <c r="N12" i="6"/>
  <c r="P12" i="6" s="1"/>
  <c r="N42" i="6"/>
  <c r="P42" i="6" s="1"/>
  <c r="L12" i="5"/>
  <c r="G114" i="6"/>
  <c r="L114" i="6" s="1"/>
  <c r="M84" i="6"/>
  <c r="O84" i="6"/>
  <c r="N35" i="6"/>
  <c r="P35" i="6" s="1"/>
  <c r="N155" i="6"/>
  <c r="N93" i="6"/>
  <c r="G98" i="6"/>
  <c r="L98" i="6" s="1"/>
  <c r="O68" i="6"/>
  <c r="M68" i="6"/>
  <c r="R2" i="6"/>
  <c r="Q2" i="6"/>
  <c r="G79" i="6"/>
  <c r="L79" i="6" s="1"/>
  <c r="M49" i="6"/>
  <c r="P49" i="6"/>
  <c r="O49" i="6"/>
  <c r="M77" i="6"/>
  <c r="G107" i="6"/>
  <c r="L107" i="6" s="1"/>
  <c r="O77" i="6"/>
  <c r="N180" i="6"/>
  <c r="N150" i="6"/>
  <c r="N90" i="6"/>
  <c r="P90" i="6" s="1"/>
  <c r="N120" i="6"/>
  <c r="N60" i="6"/>
  <c r="P60" i="6" s="1"/>
  <c r="N30" i="6"/>
  <c r="L30" i="5"/>
  <c r="G104" i="6"/>
  <c r="L104" i="6" s="1"/>
  <c r="M74" i="6"/>
  <c r="O74" i="6"/>
  <c r="G99" i="6"/>
  <c r="L99" i="6" s="1"/>
  <c r="M69" i="6"/>
  <c r="O69" i="6"/>
  <c r="G121" i="6"/>
  <c r="L121" i="6" s="1"/>
  <c r="M91" i="6"/>
  <c r="P91" i="6"/>
  <c r="O91" i="6"/>
  <c r="M36" i="6"/>
  <c r="P36" i="6"/>
  <c r="O36" i="6"/>
  <c r="G66" i="6"/>
  <c r="L66" i="6" s="1"/>
  <c r="M32" i="6"/>
  <c r="G62" i="6"/>
  <c r="L62" i="6" s="1"/>
  <c r="P32" i="6"/>
  <c r="O32" i="6"/>
  <c r="N175" i="6"/>
  <c r="N145" i="6"/>
  <c r="N115" i="6"/>
  <c r="N25" i="6"/>
  <c r="P25" i="6" s="1"/>
  <c r="N55" i="6"/>
  <c r="P55" i="6" s="1"/>
  <c r="L25" i="5"/>
  <c r="N85" i="6"/>
  <c r="P85" i="6" s="1"/>
  <c r="N161" i="6"/>
  <c r="N131" i="6"/>
  <c r="N71" i="6"/>
  <c r="P71" i="6" s="1"/>
  <c r="N11" i="6"/>
  <c r="P11" i="6" s="1"/>
  <c r="N101" i="6"/>
  <c r="L11" i="5"/>
  <c r="N41" i="6"/>
  <c r="P41" i="6" s="1"/>
  <c r="G112" i="6"/>
  <c r="L112" i="6" s="1"/>
  <c r="M82" i="6"/>
  <c r="O82" i="6"/>
  <c r="R51" i="6"/>
  <c r="Q51" i="6"/>
  <c r="G93" i="6"/>
  <c r="L93" i="6" s="1"/>
  <c r="O63" i="6"/>
  <c r="P63" i="6"/>
  <c r="M63" i="6"/>
  <c r="M65" i="6"/>
  <c r="G95" i="6"/>
  <c r="L95" i="6" s="1"/>
  <c r="P65" i="6"/>
  <c r="O65" i="6"/>
  <c r="N176" i="6"/>
  <c r="N116" i="6"/>
  <c r="N86" i="6"/>
  <c r="N146" i="6"/>
  <c r="N56" i="6"/>
  <c r="P56" i="6" s="1"/>
  <c r="N26" i="6"/>
  <c r="P26" i="6" s="1"/>
  <c r="L26" i="5"/>
  <c r="N168" i="6"/>
  <c r="N138" i="6"/>
  <c r="N108" i="6"/>
  <c r="N48" i="6"/>
  <c r="P48" i="6" s="1"/>
  <c r="N78" i="6"/>
  <c r="N18" i="6"/>
  <c r="P18" i="6" s="1"/>
  <c r="L18" i="5"/>
  <c r="N160" i="6"/>
  <c r="N130" i="6"/>
  <c r="N100" i="6"/>
  <c r="N70" i="6"/>
  <c r="N10" i="6"/>
  <c r="P10" i="6" s="1"/>
  <c r="L10" i="5"/>
  <c r="N40" i="6"/>
  <c r="G148" i="6"/>
  <c r="L148" i="6" s="1"/>
  <c r="M118" i="6"/>
  <c r="P118" i="6"/>
  <c r="O118" i="6"/>
  <c r="R39" i="6"/>
  <c r="Q39" i="6"/>
  <c r="P78" i="6"/>
  <c r="M78" i="6"/>
  <c r="G108" i="6"/>
  <c r="L108" i="6" s="1"/>
  <c r="O78" i="6"/>
  <c r="N65" i="6"/>
  <c r="N33" i="6"/>
  <c r="P33" i="6" s="1"/>
  <c r="N3" i="6"/>
  <c r="P3" i="6" s="1"/>
  <c r="Q53" i="6"/>
  <c r="R53" i="6"/>
  <c r="G102" i="6"/>
  <c r="L102" i="6" s="1"/>
  <c r="P72" i="6"/>
  <c r="M72" i="6"/>
  <c r="O72" i="6"/>
  <c r="R30" i="6"/>
  <c r="Q30" i="6"/>
  <c r="N149" i="6"/>
  <c r="N179" i="6"/>
  <c r="N119" i="6"/>
  <c r="N89" i="6"/>
  <c r="P89" i="6" s="1"/>
  <c r="N29" i="6"/>
  <c r="P29" i="6" s="1"/>
  <c r="L29" i="5"/>
  <c r="N59" i="6"/>
  <c r="P59" i="6" s="1"/>
  <c r="N157" i="6"/>
  <c r="N97" i="6"/>
  <c r="N127" i="6"/>
  <c r="N7" i="6"/>
  <c r="P7" i="6" s="1"/>
  <c r="L7" i="5"/>
  <c r="N37" i="6"/>
  <c r="P37" i="6" s="1"/>
  <c r="N67" i="6"/>
  <c r="M81" i="6"/>
  <c r="O81" i="6"/>
  <c r="G111" i="6"/>
  <c r="L111" i="6" s="1"/>
  <c r="P81" i="6"/>
  <c r="G101" i="6"/>
  <c r="L101" i="6" s="1"/>
  <c r="O71" i="6"/>
  <c r="M71" i="6"/>
  <c r="N172" i="6"/>
  <c r="N142" i="6"/>
  <c r="N112" i="6"/>
  <c r="N52" i="6"/>
  <c r="P52" i="6" s="1"/>
  <c r="N82" i="6"/>
  <c r="P82" i="6" s="1"/>
  <c r="N22" i="6"/>
  <c r="P22" i="6" s="1"/>
  <c r="L22" i="5"/>
  <c r="N156" i="6"/>
  <c r="N126" i="6"/>
  <c r="N96" i="6"/>
  <c r="N6" i="6"/>
  <c r="P6" i="6" s="1"/>
  <c r="N66" i="6"/>
  <c r="L6" i="5"/>
  <c r="N36" i="6"/>
  <c r="G120" i="6"/>
  <c r="L120" i="6" s="1"/>
  <c r="O90" i="6"/>
  <c r="M90" i="6"/>
  <c r="G106" i="6"/>
  <c r="L106" i="6" s="1"/>
  <c r="P76" i="6"/>
  <c r="M76" i="6"/>
  <c r="O76" i="6"/>
  <c r="G105" i="6"/>
  <c r="L105" i="6" s="1"/>
  <c r="O75" i="6"/>
  <c r="M75" i="6"/>
  <c r="M57" i="6"/>
  <c r="G87" i="6"/>
  <c r="L87" i="6" s="1"/>
  <c r="O57" i="6"/>
  <c r="R31" i="6"/>
  <c r="Q31" i="6"/>
  <c r="R23" i="6"/>
  <c r="Q23" i="6"/>
  <c r="R19" i="6"/>
  <c r="Q19" i="6"/>
  <c r="G110" i="6"/>
  <c r="L110" i="6" s="1"/>
  <c r="P80" i="6"/>
  <c r="M80" i="6"/>
  <c r="O80" i="6"/>
  <c r="N167" i="6"/>
  <c r="N137" i="6"/>
  <c r="N107" i="6"/>
  <c r="N77" i="6"/>
  <c r="P77" i="6" s="1"/>
  <c r="N17" i="6"/>
  <c r="N47" i="6"/>
  <c r="P47" i="6" s="1"/>
  <c r="L17" i="5"/>
  <c r="N159" i="6"/>
  <c r="N129" i="6"/>
  <c r="N39" i="6"/>
  <c r="N9" i="6"/>
  <c r="P9" i="6" s="1"/>
  <c r="L9" i="5"/>
  <c r="N99" i="6"/>
  <c r="N69" i="6"/>
  <c r="P69" i="6" s="1"/>
  <c r="G97" i="6"/>
  <c r="L97" i="6" s="1"/>
  <c r="O67" i="6"/>
  <c r="M67" i="6"/>
  <c r="P67" i="6"/>
  <c r="N144" i="6"/>
  <c r="N114" i="6"/>
  <c r="N174" i="6"/>
  <c r="N24" i="6"/>
  <c r="P24" i="6" s="1"/>
  <c r="N84" i="6"/>
  <c r="P84" i="6" s="1"/>
  <c r="L24" i="5"/>
  <c r="N54" i="6"/>
  <c r="P54" i="6" s="1"/>
  <c r="N166" i="6"/>
  <c r="N106" i="6"/>
  <c r="N136" i="6"/>
  <c r="N76" i="6"/>
  <c r="N16" i="6"/>
  <c r="P16" i="6" s="1"/>
  <c r="L16" i="5"/>
  <c r="N46" i="6"/>
  <c r="P46" i="6" s="1"/>
  <c r="N98" i="6"/>
  <c r="N128" i="6"/>
  <c r="N68" i="6"/>
  <c r="P68" i="6" s="1"/>
  <c r="N158" i="6"/>
  <c r="N8" i="6"/>
  <c r="P8" i="6" s="1"/>
  <c r="N38" i="6"/>
  <c r="P38" i="6" s="1"/>
  <c r="L8" i="5"/>
  <c r="G116" i="6"/>
  <c r="L116" i="6" s="1"/>
  <c r="O86" i="6"/>
  <c r="M86" i="6"/>
  <c r="P86" i="6"/>
  <c r="L5" i="5"/>
  <c r="L3" i="5"/>
  <c r="O64" i="6"/>
  <c r="G94" i="6"/>
  <c r="L94" i="6" s="1"/>
  <c r="M64" i="6"/>
  <c r="R84" i="6" l="1"/>
  <c r="Q84" i="6"/>
  <c r="Q69" i="6"/>
  <c r="R69" i="6"/>
  <c r="R89" i="6"/>
  <c r="Q89" i="6"/>
  <c r="Q73" i="6"/>
  <c r="R73" i="6"/>
  <c r="R74" i="6"/>
  <c r="Q74" i="6"/>
  <c r="R68" i="6"/>
  <c r="Q68" i="6"/>
  <c r="R82" i="6"/>
  <c r="Q82" i="6"/>
  <c r="Q77" i="6"/>
  <c r="R77" i="6"/>
  <c r="R85" i="6"/>
  <c r="Q85" i="6"/>
  <c r="G146" i="6"/>
  <c r="L146" i="6" s="1"/>
  <c r="P116" i="6"/>
  <c r="M116" i="6"/>
  <c r="O116" i="6"/>
  <c r="O101" i="6"/>
  <c r="P101" i="6"/>
  <c r="M101" i="6"/>
  <c r="G131" i="6"/>
  <c r="L131" i="6" s="1"/>
  <c r="R10" i="6"/>
  <c r="Q10" i="6"/>
  <c r="Q65" i="6"/>
  <c r="R65" i="6"/>
  <c r="Q32" i="6"/>
  <c r="R32" i="6"/>
  <c r="R35" i="6"/>
  <c r="Q35" i="6"/>
  <c r="R38" i="6"/>
  <c r="Q38" i="6"/>
  <c r="R8" i="6"/>
  <c r="Q8" i="6"/>
  <c r="R54" i="6"/>
  <c r="Q54" i="6"/>
  <c r="G140" i="6"/>
  <c r="L140" i="6" s="1"/>
  <c r="M110" i="6"/>
  <c r="P110" i="6"/>
  <c r="O110" i="6"/>
  <c r="Q57" i="6"/>
  <c r="R57" i="6"/>
  <c r="Q75" i="6"/>
  <c r="R75" i="6"/>
  <c r="R22" i="6"/>
  <c r="Q22" i="6"/>
  <c r="R78" i="6"/>
  <c r="Q78" i="6"/>
  <c r="R118" i="6"/>
  <c r="Q118" i="6"/>
  <c r="R25" i="6"/>
  <c r="Q25" i="6"/>
  <c r="P66" i="6"/>
  <c r="O66" i="6"/>
  <c r="G96" i="6"/>
  <c r="L96" i="6" s="1"/>
  <c r="M66" i="6"/>
  <c r="G151" i="6"/>
  <c r="L151" i="6" s="1"/>
  <c r="O121" i="6"/>
  <c r="P121" i="6"/>
  <c r="M121" i="6"/>
  <c r="G129" i="6"/>
  <c r="L129" i="6" s="1"/>
  <c r="M99" i="6"/>
  <c r="O99" i="6"/>
  <c r="P99" i="6"/>
  <c r="P104" i="6"/>
  <c r="G134" i="6"/>
  <c r="L134" i="6" s="1"/>
  <c r="M104" i="6"/>
  <c r="O104" i="6"/>
  <c r="R12" i="6"/>
  <c r="Q12" i="6"/>
  <c r="R88" i="6"/>
  <c r="Q88" i="6"/>
  <c r="R34" i="6"/>
  <c r="Q34" i="6"/>
  <c r="R13" i="6"/>
  <c r="Q13" i="6"/>
  <c r="P70" i="6"/>
  <c r="G100" i="6"/>
  <c r="L100" i="6" s="1"/>
  <c r="M70" i="6"/>
  <c r="O70" i="6"/>
  <c r="R14" i="6"/>
  <c r="Q14" i="6"/>
  <c r="G124" i="6"/>
  <c r="L124" i="6" s="1"/>
  <c r="O94" i="6"/>
  <c r="P94" i="6"/>
  <c r="M94" i="6"/>
  <c r="R46" i="6"/>
  <c r="Q46" i="6"/>
  <c r="G117" i="6"/>
  <c r="L117" i="6" s="1"/>
  <c r="M87" i="6"/>
  <c r="P87" i="6"/>
  <c r="O87" i="6"/>
  <c r="R7" i="6"/>
  <c r="Q7" i="6"/>
  <c r="R48" i="6"/>
  <c r="Q48" i="6"/>
  <c r="R11" i="6"/>
  <c r="Q11" i="6"/>
  <c r="Q49" i="6"/>
  <c r="R49" i="6"/>
  <c r="R4" i="6"/>
  <c r="Q4" i="6"/>
  <c r="Q45" i="6"/>
  <c r="R45" i="6"/>
  <c r="O97" i="6"/>
  <c r="P97" i="6"/>
  <c r="G127" i="6"/>
  <c r="L127" i="6" s="1"/>
  <c r="M97" i="6"/>
  <c r="R9" i="6"/>
  <c r="Q9" i="6"/>
  <c r="R76" i="6"/>
  <c r="Q76" i="6"/>
  <c r="R52" i="6"/>
  <c r="Q52" i="6"/>
  <c r="Q71" i="6"/>
  <c r="R71" i="6"/>
  <c r="Q81" i="6"/>
  <c r="R81" i="6"/>
  <c r="R72" i="6"/>
  <c r="Q72" i="6"/>
  <c r="R3" i="6"/>
  <c r="Q3" i="6"/>
  <c r="G138" i="6"/>
  <c r="L138" i="6" s="1"/>
  <c r="P108" i="6"/>
  <c r="M108" i="6"/>
  <c r="O108" i="6"/>
  <c r="G178" i="6"/>
  <c r="L178" i="6" s="1"/>
  <c r="P148" i="6"/>
  <c r="O148" i="6"/>
  <c r="M148" i="6"/>
  <c r="R26" i="6"/>
  <c r="Q26" i="6"/>
  <c r="G125" i="6"/>
  <c r="L125" i="6" s="1"/>
  <c r="M95" i="6"/>
  <c r="P95" i="6"/>
  <c r="O95" i="6"/>
  <c r="R41" i="6"/>
  <c r="Q41" i="6"/>
  <c r="P62" i="6"/>
  <c r="G92" i="6"/>
  <c r="L92" i="6" s="1"/>
  <c r="M62" i="6"/>
  <c r="O62" i="6"/>
  <c r="Q36" i="6"/>
  <c r="R36" i="6"/>
  <c r="Q91" i="6"/>
  <c r="R91" i="6"/>
  <c r="G137" i="6"/>
  <c r="L137" i="6" s="1"/>
  <c r="M107" i="6"/>
  <c r="O107" i="6"/>
  <c r="P107" i="6"/>
  <c r="G128" i="6"/>
  <c r="L128" i="6" s="1"/>
  <c r="P98" i="6"/>
  <c r="M98" i="6"/>
  <c r="O98" i="6"/>
  <c r="R58" i="6"/>
  <c r="Q58" i="6"/>
  <c r="M119" i="6"/>
  <c r="G149" i="6"/>
  <c r="L149" i="6" s="1"/>
  <c r="O119" i="6"/>
  <c r="P119" i="6"/>
  <c r="R43" i="6"/>
  <c r="Q43" i="6"/>
  <c r="R27" i="6"/>
  <c r="Q27" i="6"/>
  <c r="R44" i="6"/>
  <c r="Q44" i="6"/>
  <c r="G133" i="6"/>
  <c r="L133" i="6" s="1"/>
  <c r="M103" i="6"/>
  <c r="O103" i="6"/>
  <c r="P103" i="6"/>
  <c r="R90" i="6"/>
  <c r="Q90" i="6"/>
  <c r="R59" i="6"/>
  <c r="Q59" i="6"/>
  <c r="R63" i="6"/>
  <c r="Q63" i="6"/>
  <c r="P112" i="6"/>
  <c r="G142" i="6"/>
  <c r="L142" i="6" s="1"/>
  <c r="M112" i="6"/>
  <c r="O112" i="6"/>
  <c r="P114" i="6"/>
  <c r="G144" i="6"/>
  <c r="L144" i="6" s="1"/>
  <c r="M114" i="6"/>
  <c r="O114" i="6"/>
  <c r="G143" i="6"/>
  <c r="L143" i="6" s="1"/>
  <c r="O113" i="6"/>
  <c r="P113" i="6"/>
  <c r="M113" i="6"/>
  <c r="R86" i="6"/>
  <c r="Q86" i="6"/>
  <c r="R64" i="6"/>
  <c r="Q64" i="6"/>
  <c r="R16" i="6"/>
  <c r="Q16" i="6"/>
  <c r="R24" i="6"/>
  <c r="Q24" i="6"/>
  <c r="R67" i="6"/>
  <c r="Q67" i="6"/>
  <c r="R47" i="6"/>
  <c r="Q47" i="6"/>
  <c r="R80" i="6"/>
  <c r="Q80" i="6"/>
  <c r="O105" i="6"/>
  <c r="P105" i="6"/>
  <c r="G135" i="6"/>
  <c r="L135" i="6" s="1"/>
  <c r="M105" i="6"/>
  <c r="G136" i="6"/>
  <c r="L136" i="6" s="1"/>
  <c r="P106" i="6"/>
  <c r="M106" i="6"/>
  <c r="O106" i="6"/>
  <c r="G150" i="6"/>
  <c r="L150" i="6" s="1"/>
  <c r="P120" i="6"/>
  <c r="M120" i="6"/>
  <c r="O120" i="6"/>
  <c r="R6" i="6"/>
  <c r="Q6" i="6"/>
  <c r="M111" i="6"/>
  <c r="O111" i="6"/>
  <c r="G141" i="6"/>
  <c r="L141" i="6" s="1"/>
  <c r="P111" i="6"/>
  <c r="R37" i="6"/>
  <c r="Q37" i="6"/>
  <c r="R29" i="6"/>
  <c r="Q29" i="6"/>
  <c r="M102" i="6"/>
  <c r="G132" i="6"/>
  <c r="L132" i="6" s="1"/>
  <c r="O102" i="6"/>
  <c r="P102" i="6"/>
  <c r="R33" i="6"/>
  <c r="Q33" i="6"/>
  <c r="R18" i="6"/>
  <c r="Q18" i="6"/>
  <c r="R56" i="6"/>
  <c r="Q56" i="6"/>
  <c r="O93" i="6"/>
  <c r="P93" i="6"/>
  <c r="M93" i="6"/>
  <c r="G123" i="6"/>
  <c r="L123" i="6" s="1"/>
  <c r="R55" i="6"/>
  <c r="Q55" i="6"/>
  <c r="R60" i="6"/>
  <c r="Q60" i="6"/>
  <c r="G109" i="6"/>
  <c r="L109" i="6" s="1"/>
  <c r="O79" i="6"/>
  <c r="M79" i="6"/>
  <c r="P79" i="6"/>
  <c r="R42" i="6"/>
  <c r="Q42" i="6"/>
  <c r="R20" i="6"/>
  <c r="Q20" i="6"/>
  <c r="R28" i="6"/>
  <c r="Q28" i="6"/>
  <c r="M115" i="6"/>
  <c r="G145" i="6"/>
  <c r="L145" i="6" s="1"/>
  <c r="O115" i="6"/>
  <c r="P115" i="6"/>
  <c r="Q40" i="6"/>
  <c r="R40" i="6"/>
  <c r="Q83" i="6"/>
  <c r="R83" i="6"/>
  <c r="R15" i="6"/>
  <c r="Q15" i="6"/>
  <c r="Q79" i="6" l="1"/>
  <c r="R79" i="6"/>
  <c r="G171" i="6"/>
  <c r="L171" i="6" s="1"/>
  <c r="M141" i="6"/>
  <c r="P141" i="6"/>
  <c r="O141" i="6"/>
  <c r="R106" i="6"/>
  <c r="Q106" i="6"/>
  <c r="O143" i="6"/>
  <c r="G173" i="6"/>
  <c r="L173" i="6" s="1"/>
  <c r="M143" i="6"/>
  <c r="P143" i="6"/>
  <c r="Q95" i="6"/>
  <c r="R95" i="6"/>
  <c r="Q108" i="6"/>
  <c r="R108" i="6"/>
  <c r="Q99" i="6"/>
  <c r="R99" i="6"/>
  <c r="M131" i="6"/>
  <c r="G161" i="6"/>
  <c r="L161" i="6" s="1"/>
  <c r="O131" i="6"/>
  <c r="P131" i="6"/>
  <c r="G176" i="6"/>
  <c r="L176" i="6" s="1"/>
  <c r="P146" i="6"/>
  <c r="O146" i="6"/>
  <c r="M146" i="6"/>
  <c r="G153" i="6"/>
  <c r="L153" i="6" s="1"/>
  <c r="M123" i="6"/>
  <c r="O123" i="6"/>
  <c r="P123" i="6"/>
  <c r="G162" i="6"/>
  <c r="L162" i="6" s="1"/>
  <c r="P132" i="6"/>
  <c r="M132" i="6"/>
  <c r="O132" i="6"/>
  <c r="G180" i="6"/>
  <c r="L180" i="6" s="1"/>
  <c r="P150" i="6"/>
  <c r="O150" i="6"/>
  <c r="M150" i="6"/>
  <c r="G166" i="6"/>
  <c r="L166" i="6" s="1"/>
  <c r="P136" i="6"/>
  <c r="M136" i="6"/>
  <c r="O136" i="6"/>
  <c r="Q112" i="6"/>
  <c r="R112" i="6"/>
  <c r="Q119" i="6"/>
  <c r="R119" i="6"/>
  <c r="P178" i="6"/>
  <c r="M178" i="6"/>
  <c r="O178" i="6"/>
  <c r="I28" i="5"/>
  <c r="G168" i="6"/>
  <c r="L168" i="6" s="1"/>
  <c r="P138" i="6"/>
  <c r="M138" i="6"/>
  <c r="O138" i="6"/>
  <c r="Q87" i="6"/>
  <c r="R87" i="6"/>
  <c r="P124" i="6"/>
  <c r="G154" i="6"/>
  <c r="L154" i="6" s="1"/>
  <c r="M124" i="6"/>
  <c r="O124" i="6"/>
  <c r="Q121" i="6"/>
  <c r="R121" i="6"/>
  <c r="P96" i="6"/>
  <c r="G126" i="6"/>
  <c r="L126" i="6" s="1"/>
  <c r="O96" i="6"/>
  <c r="M96" i="6"/>
  <c r="P140" i="6"/>
  <c r="O140" i="6"/>
  <c r="G170" i="6"/>
  <c r="L170" i="6" s="1"/>
  <c r="M140" i="6"/>
  <c r="G175" i="6"/>
  <c r="L175" i="6" s="1"/>
  <c r="M145" i="6"/>
  <c r="O145" i="6"/>
  <c r="P145" i="6"/>
  <c r="R105" i="6"/>
  <c r="Q105" i="6"/>
  <c r="P142" i="6"/>
  <c r="G172" i="6"/>
  <c r="L172" i="6" s="1"/>
  <c r="O142" i="6"/>
  <c r="M142" i="6"/>
  <c r="R97" i="6"/>
  <c r="Q97" i="6"/>
  <c r="Q113" i="6"/>
  <c r="R113" i="6"/>
  <c r="G163" i="6"/>
  <c r="L163" i="6" s="1"/>
  <c r="O133" i="6"/>
  <c r="P133" i="6"/>
  <c r="M133" i="6"/>
  <c r="R98" i="6"/>
  <c r="Q98" i="6"/>
  <c r="G122" i="6"/>
  <c r="L122" i="6" s="1"/>
  <c r="P92" i="6"/>
  <c r="M92" i="6"/>
  <c r="O92" i="6"/>
  <c r="G155" i="6"/>
  <c r="L155" i="6" s="1"/>
  <c r="O125" i="6"/>
  <c r="P125" i="6"/>
  <c r="M125" i="6"/>
  <c r="P100" i="6"/>
  <c r="G130" i="6"/>
  <c r="L130" i="6" s="1"/>
  <c r="M100" i="6"/>
  <c r="O100" i="6"/>
  <c r="G164" i="6"/>
  <c r="L164" i="6" s="1"/>
  <c r="M134" i="6"/>
  <c r="P134" i="6"/>
  <c r="O134" i="6"/>
  <c r="Q101" i="6"/>
  <c r="R101" i="6"/>
  <c r="Q120" i="6"/>
  <c r="R120" i="6"/>
  <c r="R114" i="6"/>
  <c r="Q114" i="6"/>
  <c r="Q107" i="6"/>
  <c r="R107" i="6"/>
  <c r="R148" i="6"/>
  <c r="Q148" i="6"/>
  <c r="Q115" i="6"/>
  <c r="R115" i="6"/>
  <c r="G139" i="6"/>
  <c r="L139" i="6" s="1"/>
  <c r="O109" i="6"/>
  <c r="P109" i="6"/>
  <c r="M109" i="6"/>
  <c r="R93" i="6"/>
  <c r="Q93" i="6"/>
  <c r="R102" i="6"/>
  <c r="Q102" i="6"/>
  <c r="Q111" i="6"/>
  <c r="R111" i="6"/>
  <c r="M135" i="6"/>
  <c r="O135" i="6"/>
  <c r="G165" i="6"/>
  <c r="L165" i="6" s="1"/>
  <c r="P135" i="6"/>
  <c r="G174" i="6"/>
  <c r="L174" i="6" s="1"/>
  <c r="M144" i="6"/>
  <c r="P144" i="6"/>
  <c r="O144" i="6"/>
  <c r="Q103" i="6"/>
  <c r="R103" i="6"/>
  <c r="G179" i="6"/>
  <c r="L179" i="6" s="1"/>
  <c r="M149" i="6"/>
  <c r="O149" i="6"/>
  <c r="P149" i="6"/>
  <c r="G158" i="6"/>
  <c r="L158" i="6" s="1"/>
  <c r="P128" i="6"/>
  <c r="M128" i="6"/>
  <c r="O128" i="6"/>
  <c r="G167" i="6"/>
  <c r="L167" i="6" s="1"/>
  <c r="O137" i="6"/>
  <c r="P137" i="6"/>
  <c r="M137" i="6"/>
  <c r="R62" i="6"/>
  <c r="Q62" i="6"/>
  <c r="G157" i="6"/>
  <c r="L157" i="6" s="1"/>
  <c r="M127" i="6"/>
  <c r="O127" i="6"/>
  <c r="P127" i="6"/>
  <c r="G147" i="6"/>
  <c r="L147" i="6" s="1"/>
  <c r="O117" i="6"/>
  <c r="P117" i="6"/>
  <c r="M117" i="6"/>
  <c r="R94" i="6"/>
  <c r="Q94" i="6"/>
  <c r="R70" i="6"/>
  <c r="Q70" i="6"/>
  <c r="Q104" i="6"/>
  <c r="R104" i="6"/>
  <c r="G159" i="6"/>
  <c r="L159" i="6" s="1"/>
  <c r="O129" i="6"/>
  <c r="P129" i="6"/>
  <c r="M129" i="6"/>
  <c r="O151" i="6"/>
  <c r="P151" i="6"/>
  <c r="G181" i="6"/>
  <c r="L181" i="6" s="1"/>
  <c r="M151" i="6"/>
  <c r="R66" i="6"/>
  <c r="Q66" i="6"/>
  <c r="R110" i="6"/>
  <c r="Q110" i="6"/>
  <c r="Q116" i="6"/>
  <c r="R116" i="6"/>
  <c r="Q128" i="6" l="1"/>
  <c r="R128" i="6"/>
  <c r="Q135" i="6"/>
  <c r="R135" i="6"/>
  <c r="G160" i="6"/>
  <c r="L160" i="6" s="1"/>
  <c r="P130" i="6"/>
  <c r="M130" i="6"/>
  <c r="O130" i="6"/>
  <c r="R92" i="6"/>
  <c r="Q92" i="6"/>
  <c r="M126" i="6"/>
  <c r="P126" i="6"/>
  <c r="G156" i="6"/>
  <c r="L156" i="6" s="1"/>
  <c r="O126" i="6"/>
  <c r="Q138" i="6"/>
  <c r="R138" i="6"/>
  <c r="Q136" i="6"/>
  <c r="R136" i="6"/>
  <c r="Q150" i="6"/>
  <c r="R150" i="6"/>
  <c r="Q132" i="6"/>
  <c r="R132" i="6"/>
  <c r="Q146" i="6"/>
  <c r="R146" i="6"/>
  <c r="M161" i="6"/>
  <c r="O161" i="6"/>
  <c r="P161" i="6"/>
  <c r="I11" i="5"/>
  <c r="Q143" i="6"/>
  <c r="R143" i="6"/>
  <c r="O159" i="6"/>
  <c r="P159" i="6"/>
  <c r="M159" i="6"/>
  <c r="I9" i="5"/>
  <c r="Q117" i="6"/>
  <c r="R117" i="6"/>
  <c r="O167" i="6"/>
  <c r="P167" i="6"/>
  <c r="M167" i="6"/>
  <c r="I17" i="5"/>
  <c r="P158" i="6"/>
  <c r="M158" i="6"/>
  <c r="O158" i="6"/>
  <c r="I8" i="5"/>
  <c r="O179" i="6"/>
  <c r="M179" i="6"/>
  <c r="P179" i="6"/>
  <c r="I29" i="5"/>
  <c r="R144" i="6"/>
  <c r="Q144" i="6"/>
  <c r="M165" i="6"/>
  <c r="O165" i="6"/>
  <c r="P165" i="6"/>
  <c r="I15" i="5"/>
  <c r="O139" i="6"/>
  <c r="G169" i="6"/>
  <c r="L169" i="6" s="1"/>
  <c r="M139" i="6"/>
  <c r="P139" i="6"/>
  <c r="M164" i="6"/>
  <c r="P164" i="6"/>
  <c r="O164" i="6"/>
  <c r="I14" i="5"/>
  <c r="Q100" i="6"/>
  <c r="R100" i="6"/>
  <c r="O155" i="6"/>
  <c r="P155" i="6"/>
  <c r="M155" i="6"/>
  <c r="I5" i="5"/>
  <c r="G152" i="6"/>
  <c r="L152" i="6" s="1"/>
  <c r="P122" i="6"/>
  <c r="M122" i="6"/>
  <c r="O122" i="6"/>
  <c r="Q133" i="6"/>
  <c r="R133" i="6"/>
  <c r="O175" i="6"/>
  <c r="P175" i="6"/>
  <c r="M175" i="6"/>
  <c r="I25" i="5"/>
  <c r="R140" i="6"/>
  <c r="Q140" i="6"/>
  <c r="Q96" i="6"/>
  <c r="R96" i="6"/>
  <c r="P168" i="6"/>
  <c r="M168" i="6"/>
  <c r="O168" i="6"/>
  <c r="I18" i="5"/>
  <c r="R178" i="6"/>
  <c r="Q178" i="6"/>
  <c r="P166" i="6"/>
  <c r="O166" i="6"/>
  <c r="M166" i="6"/>
  <c r="I16" i="5"/>
  <c r="O180" i="6"/>
  <c r="P180" i="6"/>
  <c r="M180" i="6"/>
  <c r="I30" i="5"/>
  <c r="P162" i="6"/>
  <c r="M162" i="6"/>
  <c r="O162" i="6"/>
  <c r="I12" i="5"/>
  <c r="M153" i="6"/>
  <c r="P153" i="6"/>
  <c r="O153" i="6"/>
  <c r="I3" i="5"/>
  <c r="P176" i="6"/>
  <c r="O176" i="6"/>
  <c r="M176" i="6"/>
  <c r="I26" i="5"/>
  <c r="O171" i="6"/>
  <c r="P171" i="6"/>
  <c r="M171" i="6"/>
  <c r="I21" i="5"/>
  <c r="R151" i="6"/>
  <c r="Q151" i="6"/>
  <c r="Q127" i="6"/>
  <c r="R127" i="6"/>
  <c r="Q28" i="5"/>
  <c r="M28" i="5"/>
  <c r="W28" i="5" s="1"/>
  <c r="O28" i="5"/>
  <c r="N28" i="5"/>
  <c r="Q123" i="6"/>
  <c r="R123" i="6"/>
  <c r="Q131" i="6"/>
  <c r="R131" i="6"/>
  <c r="M173" i="6"/>
  <c r="O173" i="6"/>
  <c r="P173" i="6"/>
  <c r="I23" i="5"/>
  <c r="Q149" i="6"/>
  <c r="R149" i="6"/>
  <c r="M172" i="6"/>
  <c r="O172" i="6"/>
  <c r="P172" i="6"/>
  <c r="I22" i="5"/>
  <c r="Q145" i="6"/>
  <c r="R145" i="6"/>
  <c r="P154" i="6"/>
  <c r="O154" i="6"/>
  <c r="M154" i="6"/>
  <c r="I4" i="5"/>
  <c r="M181" i="6"/>
  <c r="O181" i="6"/>
  <c r="I31" i="5"/>
  <c r="P181" i="6"/>
  <c r="Q129" i="6"/>
  <c r="R129" i="6"/>
  <c r="O147" i="6"/>
  <c r="G177" i="6"/>
  <c r="L177" i="6" s="1"/>
  <c r="P147" i="6"/>
  <c r="M147" i="6"/>
  <c r="M157" i="6"/>
  <c r="O157" i="6"/>
  <c r="P157" i="6"/>
  <c r="I7" i="5"/>
  <c r="Q137" i="6"/>
  <c r="R137" i="6"/>
  <c r="P174" i="6"/>
  <c r="M174" i="6"/>
  <c r="O174" i="6"/>
  <c r="I24" i="5"/>
  <c r="Q109" i="6"/>
  <c r="R109" i="6"/>
  <c r="R134" i="6"/>
  <c r="Q134" i="6"/>
  <c r="Q125" i="6"/>
  <c r="R125" i="6"/>
  <c r="O163" i="6"/>
  <c r="M163" i="6"/>
  <c r="P163" i="6"/>
  <c r="I13" i="5"/>
  <c r="R142" i="6"/>
  <c r="Q142" i="6"/>
  <c r="P170" i="6"/>
  <c r="O170" i="6"/>
  <c r="M170" i="6"/>
  <c r="I20" i="5"/>
  <c r="Q124" i="6"/>
  <c r="R124" i="6"/>
  <c r="Q141" i="6"/>
  <c r="R141" i="6"/>
  <c r="Q173" i="6" l="1"/>
  <c r="R173" i="6"/>
  <c r="Q26" i="5"/>
  <c r="M26" i="5"/>
  <c r="W26" i="5" s="1"/>
  <c r="O26" i="5"/>
  <c r="N26" i="5"/>
  <c r="Q30" i="5"/>
  <c r="M30" i="5"/>
  <c r="W30" i="5"/>
  <c r="O30" i="5"/>
  <c r="N30" i="5"/>
  <c r="R175" i="6"/>
  <c r="Q175" i="6"/>
  <c r="Q29" i="5"/>
  <c r="M29" i="5"/>
  <c r="W29" i="5" s="1"/>
  <c r="O29" i="5"/>
  <c r="N29" i="5"/>
  <c r="Q11" i="5"/>
  <c r="M11" i="5"/>
  <c r="W11" i="5"/>
  <c r="O11" i="5"/>
  <c r="N11" i="5"/>
  <c r="R126" i="6"/>
  <c r="Q126" i="6"/>
  <c r="Q31" i="5"/>
  <c r="M31" i="5"/>
  <c r="W31" i="5" s="1"/>
  <c r="O31" i="5"/>
  <c r="N31" i="5"/>
  <c r="W3" i="5"/>
  <c r="Q3" i="5"/>
  <c r="M3" i="5"/>
  <c r="O3" i="5"/>
  <c r="N3" i="5"/>
  <c r="Q16" i="5"/>
  <c r="M16" i="5"/>
  <c r="W16" i="5" s="1"/>
  <c r="O16" i="5"/>
  <c r="N16" i="5"/>
  <c r="R164" i="6"/>
  <c r="Q164" i="6"/>
  <c r="Q17" i="5"/>
  <c r="M17" i="5"/>
  <c r="W17" i="5"/>
  <c r="O17" i="5"/>
  <c r="N17" i="5"/>
  <c r="R159" i="6"/>
  <c r="Q159" i="6"/>
  <c r="Q7" i="5"/>
  <c r="M7" i="5"/>
  <c r="W7" i="5" s="1"/>
  <c r="O7" i="5"/>
  <c r="N7" i="5"/>
  <c r="Q22" i="5"/>
  <c r="M22" i="5"/>
  <c r="W22" i="5"/>
  <c r="O22" i="5"/>
  <c r="N22" i="5"/>
  <c r="R168" i="6"/>
  <c r="Q168" i="6"/>
  <c r="Q179" i="6"/>
  <c r="R179" i="6"/>
  <c r="Q161" i="6"/>
  <c r="R161" i="6"/>
  <c r="Q21" i="5"/>
  <c r="M21" i="5"/>
  <c r="W21" i="5" s="1"/>
  <c r="O21" i="5"/>
  <c r="N21" i="5"/>
  <c r="Q12" i="5"/>
  <c r="M12" i="5"/>
  <c r="W12" i="5"/>
  <c r="O12" i="5"/>
  <c r="N12" i="5"/>
  <c r="W5" i="5"/>
  <c r="Q5" i="5"/>
  <c r="M5" i="5"/>
  <c r="O5" i="5"/>
  <c r="N5" i="5"/>
  <c r="M169" i="6"/>
  <c r="P169" i="6"/>
  <c r="O169" i="6"/>
  <c r="I19" i="5"/>
  <c r="Q8" i="5"/>
  <c r="M8" i="5"/>
  <c r="W8" i="5"/>
  <c r="O8" i="5"/>
  <c r="N8" i="5"/>
  <c r="Q13" i="5"/>
  <c r="M13" i="5"/>
  <c r="W13" i="5" s="1"/>
  <c r="O13" i="5"/>
  <c r="N13" i="5"/>
  <c r="Q170" i="6"/>
  <c r="R170" i="6"/>
  <c r="Q163" i="6"/>
  <c r="R163" i="6"/>
  <c r="Q174" i="6"/>
  <c r="R174" i="6"/>
  <c r="Q157" i="6"/>
  <c r="R157" i="6"/>
  <c r="Q147" i="6"/>
  <c r="R147" i="6"/>
  <c r="Q154" i="6"/>
  <c r="R154" i="6"/>
  <c r="R172" i="6"/>
  <c r="Q172" i="6"/>
  <c r="Q171" i="6"/>
  <c r="R171" i="6"/>
  <c r="Q153" i="6"/>
  <c r="R153" i="6"/>
  <c r="R180" i="6"/>
  <c r="Q180" i="6"/>
  <c r="Q18" i="5"/>
  <c r="M18" i="5"/>
  <c r="W18" i="5" s="1"/>
  <c r="O18" i="5"/>
  <c r="N18" i="5"/>
  <c r="Q25" i="5"/>
  <c r="M25" i="5"/>
  <c r="W25" i="5" s="1"/>
  <c r="O25" i="5"/>
  <c r="N25" i="5"/>
  <c r="R122" i="6"/>
  <c r="Q122" i="6"/>
  <c r="Q155" i="6"/>
  <c r="R155" i="6"/>
  <c r="Q14" i="5"/>
  <c r="M14" i="5"/>
  <c r="W14" i="5"/>
  <c r="O14" i="5"/>
  <c r="N14" i="5"/>
  <c r="R139" i="6"/>
  <c r="Q139" i="6"/>
  <c r="Q15" i="5"/>
  <c r="M15" i="5"/>
  <c r="W15" i="5" s="1"/>
  <c r="O15" i="5"/>
  <c r="N15" i="5"/>
  <c r="R167" i="6"/>
  <c r="Q167" i="6"/>
  <c r="Q9" i="5"/>
  <c r="M9" i="5"/>
  <c r="W9" i="5" s="1"/>
  <c r="O9" i="5"/>
  <c r="N9" i="5"/>
  <c r="R130" i="6"/>
  <c r="Q130" i="6"/>
  <c r="Q20" i="5"/>
  <c r="M20" i="5"/>
  <c r="W20" i="5"/>
  <c r="O20" i="5"/>
  <c r="N20" i="5"/>
  <c r="Q24" i="5"/>
  <c r="M24" i="5"/>
  <c r="W24" i="5" s="1"/>
  <c r="O24" i="5"/>
  <c r="N24" i="5"/>
  <c r="M177" i="6"/>
  <c r="O177" i="6"/>
  <c r="P177" i="6"/>
  <c r="I27" i="5"/>
  <c r="R181" i="6"/>
  <c r="Q181" i="6"/>
  <c r="O4" i="5"/>
  <c r="W4" i="5"/>
  <c r="Q4" i="5"/>
  <c r="M4" i="5"/>
  <c r="N4" i="5"/>
  <c r="Q23" i="5"/>
  <c r="M23" i="5"/>
  <c r="O23" i="5"/>
  <c r="N23" i="5"/>
  <c r="U28" i="5"/>
  <c r="V28" i="5"/>
  <c r="R176" i="6"/>
  <c r="Q176" i="6"/>
  <c r="R162" i="6"/>
  <c r="Q162" i="6"/>
  <c r="Q166" i="6"/>
  <c r="R166" i="6"/>
  <c r="P152" i="6"/>
  <c r="M152" i="6"/>
  <c r="O152" i="6"/>
  <c r="I2" i="5"/>
  <c r="Q165" i="6"/>
  <c r="R165" i="6"/>
  <c r="Q158" i="6"/>
  <c r="R158" i="6"/>
  <c r="M156" i="6"/>
  <c r="O156" i="6"/>
  <c r="P156" i="6"/>
  <c r="I6" i="5"/>
  <c r="P160" i="6"/>
  <c r="O160" i="6"/>
  <c r="M160" i="6"/>
  <c r="I10" i="5"/>
  <c r="Q10" i="5" l="1"/>
  <c r="M10" i="5"/>
  <c r="W10" i="5"/>
  <c r="O10" i="5"/>
  <c r="N10" i="5"/>
  <c r="Q27" i="5"/>
  <c r="M27" i="5"/>
  <c r="W27" i="5"/>
  <c r="O27" i="5"/>
  <c r="N27" i="5"/>
  <c r="U12" i="5"/>
  <c r="V12" i="5"/>
  <c r="U22" i="5"/>
  <c r="V22" i="5"/>
  <c r="U17" i="5"/>
  <c r="V17" i="5"/>
  <c r="U11" i="5"/>
  <c r="V11" i="5"/>
  <c r="U30" i="5"/>
  <c r="V30" i="5"/>
  <c r="R156" i="6"/>
  <c r="Q156" i="6"/>
  <c r="Q177" i="6"/>
  <c r="R177" i="6"/>
  <c r="U20" i="5"/>
  <c r="V20" i="5"/>
  <c r="U13" i="5"/>
  <c r="V13" i="5"/>
  <c r="Q169" i="6"/>
  <c r="R169" i="6"/>
  <c r="U21" i="5"/>
  <c r="V21" i="5"/>
  <c r="U7" i="5"/>
  <c r="V7" i="5"/>
  <c r="U31" i="5"/>
  <c r="V31" i="5"/>
  <c r="U29" i="5"/>
  <c r="V29" i="5"/>
  <c r="U26" i="5"/>
  <c r="V26" i="5"/>
  <c r="O2" i="5"/>
  <c r="Q2" i="5"/>
  <c r="M2" i="5"/>
  <c r="W2" i="5" s="1"/>
  <c r="N2" i="5"/>
  <c r="U23" i="5"/>
  <c r="V23" i="5"/>
  <c r="U24" i="5"/>
  <c r="V24" i="5"/>
  <c r="U9" i="5"/>
  <c r="V9" i="5"/>
  <c r="U18" i="5"/>
  <c r="V18" i="5"/>
  <c r="U14" i="5"/>
  <c r="V14" i="5"/>
  <c r="U8" i="5"/>
  <c r="V8" i="5"/>
  <c r="V5" i="5"/>
  <c r="U5" i="5"/>
  <c r="Q6" i="5"/>
  <c r="M6" i="5"/>
  <c r="W6" i="5"/>
  <c r="O6" i="5"/>
  <c r="N6" i="5"/>
  <c r="R160" i="6"/>
  <c r="Q160" i="6"/>
  <c r="R152" i="6"/>
  <c r="Q152" i="6"/>
  <c r="U4" i="5"/>
  <c r="V4" i="5"/>
  <c r="U15" i="5"/>
  <c r="V15" i="5"/>
  <c r="U25" i="5"/>
  <c r="V25" i="5"/>
  <c r="Q19" i="5"/>
  <c r="M19" i="5"/>
  <c r="W19" i="5" s="1"/>
  <c r="O19" i="5"/>
  <c r="N19" i="5"/>
  <c r="U16" i="5"/>
  <c r="V16" i="5"/>
  <c r="V3" i="5"/>
  <c r="U3" i="5"/>
  <c r="U19" i="5" l="1"/>
  <c r="V19" i="5"/>
  <c r="U2" i="5"/>
  <c r="V2" i="5"/>
  <c r="U27" i="5"/>
  <c r="V27" i="5"/>
  <c r="U6" i="5"/>
  <c r="V6" i="5"/>
  <c r="U10" i="5"/>
  <c r="V10" i="5"/>
</calcChain>
</file>

<file path=xl/sharedStrings.xml><?xml version="1.0" encoding="utf-8"?>
<sst xmlns="http://schemas.openxmlformats.org/spreadsheetml/2006/main" count="2009" uniqueCount="498">
  <si>
    <t>Date</t>
  </si>
  <si>
    <t>Year</t>
  </si>
  <si>
    <t>MonthNumber</t>
  </si>
  <si>
    <t>MonthName</t>
  </si>
  <si>
    <t>MonthShort</t>
  </si>
  <si>
    <t>MonthYear</t>
  </si>
  <si>
    <t>Quarter</t>
  </si>
  <si>
    <t>DayOfWeek</t>
  </si>
  <si>
    <t>IsWeekend</t>
  </si>
  <si>
    <t>SupplierID</t>
  </si>
  <si>
    <t>SupplierName</t>
  </si>
  <si>
    <t>AvgLeadTime</t>
  </si>
  <si>
    <t>MinLeadTime</t>
  </si>
  <si>
    <t>MaxLeadTime</t>
  </si>
  <si>
    <t>LeadTimeRange</t>
  </si>
  <si>
    <t>OnTimeRate%</t>
  </si>
  <si>
    <t>SUP-01</t>
  </si>
  <si>
    <t>Global Distributors Ltd</t>
  </si>
  <si>
    <t>SUP-02</t>
  </si>
  <si>
    <t>Premier Supplies Ltd</t>
  </si>
  <si>
    <t>SUP-03</t>
  </si>
  <si>
    <t>Bulk Wholesale Co</t>
  </si>
  <si>
    <t>SUP-04</t>
  </si>
  <si>
    <t>Quality Imports Ltd</t>
  </si>
  <si>
    <t>SUP-05</t>
  </si>
  <si>
    <t>Local Sourcing Ltd</t>
  </si>
  <si>
    <t>MonthDate</t>
  </si>
  <si>
    <t>Month</t>
  </si>
  <si>
    <t>LeadTimeDays</t>
  </si>
  <si>
    <t>Jan-2026</t>
  </si>
  <si>
    <t>Feb-2026</t>
  </si>
  <si>
    <t>Mar-2026</t>
  </si>
  <si>
    <t>Apr-2026</t>
  </si>
  <si>
    <t>May-2026</t>
  </si>
  <si>
    <t>Jun-2026</t>
  </si>
  <si>
    <t>SKU</t>
  </si>
  <si>
    <t>ProductName</t>
  </si>
  <si>
    <t>Category</t>
  </si>
  <si>
    <t>UnitCost</t>
  </si>
  <si>
    <t>SafetyStock</t>
  </si>
  <si>
    <t>AvgDailyUsage</t>
  </si>
  <si>
    <t>OnHand</t>
  </si>
  <si>
    <t>ROP</t>
  </si>
  <si>
    <t>DaysOfSupply</t>
  </si>
  <si>
    <t>SuggestedReorder</t>
  </si>
  <si>
    <t>StockValue</t>
  </si>
  <si>
    <t>AnnualUsageValue</t>
  </si>
  <si>
    <t>Status</t>
  </si>
  <si>
    <t>ABC_Class</t>
  </si>
  <si>
    <t>LastMovementDate</t>
  </si>
  <si>
    <t>DaysSinceLastMove</t>
  </si>
  <si>
    <t>NeedsReorder</t>
  </si>
  <si>
    <t>StatusPriority</t>
  </si>
  <si>
    <t>EstStockoutDate</t>
  </si>
  <si>
    <t>SKU-001</t>
  </si>
  <si>
    <t>Coca-Cola 1.5L</t>
  </si>
  <si>
    <t>Beverages</t>
  </si>
  <si>
    <t>SKU-002</t>
  </si>
  <si>
    <t>Sprite 1.5L</t>
  </si>
  <si>
    <t>SKU-003</t>
  </si>
  <si>
    <t>Fanta 1.5L</t>
  </si>
  <si>
    <t>SKU-004</t>
  </si>
  <si>
    <t>Bottled Water 75cl</t>
  </si>
  <si>
    <t>SKU-005</t>
  </si>
  <si>
    <t>Malt Drink 33cl</t>
  </si>
  <si>
    <t>SKU-006</t>
  </si>
  <si>
    <t>Colgate Toothpaste 100ml</t>
  </si>
  <si>
    <t>Personal Care</t>
  </si>
  <si>
    <t>SKU-007</t>
  </si>
  <si>
    <t>Dettol Soap 100g</t>
  </si>
  <si>
    <t>SKU-008</t>
  </si>
  <si>
    <t>Sunsilk Shampoo 200ml</t>
  </si>
  <si>
    <t>SKU-009</t>
  </si>
  <si>
    <t>Vaseline Lotion 400ml</t>
  </si>
  <si>
    <t>SKU-010</t>
  </si>
  <si>
    <t>Always Sanitary Pads</t>
  </si>
  <si>
    <t>SKU-011</t>
  </si>
  <si>
    <t>Indomie Noodles Carton</t>
  </si>
  <si>
    <t>Packaged Foods</t>
  </si>
  <si>
    <t>SKU-012</t>
  </si>
  <si>
    <t>Golden Penny Semovita 1kg</t>
  </si>
  <si>
    <t>SKU-013</t>
  </si>
  <si>
    <t>Peak Milk Tin 400g</t>
  </si>
  <si>
    <t>SKU-014</t>
  </si>
  <si>
    <t>Dangote Pasta 500g</t>
  </si>
  <si>
    <t>SKU-015</t>
  </si>
  <si>
    <t>Kings Vegetable Oil 1L</t>
  </si>
  <si>
    <t>SKU-016</t>
  </si>
  <si>
    <t>Titus Sardine Tin</t>
  </si>
  <si>
    <t>SKU-017</t>
  </si>
  <si>
    <t>Nasco Cornflakes 500g</t>
  </si>
  <si>
    <t>SKU-018</t>
  </si>
  <si>
    <t>Omo Detergent 900g</t>
  </si>
  <si>
    <t>Household</t>
  </si>
  <si>
    <t>SKU-019</t>
  </si>
  <si>
    <t>Harpic Toilet Cleaner</t>
  </si>
  <si>
    <t>SKU-020</t>
  </si>
  <si>
    <t>Hypo Bleach 1L</t>
  </si>
  <si>
    <t>SKU-021</t>
  </si>
  <si>
    <t>Sunlight Dishwash Liquid</t>
  </si>
  <si>
    <t>SKU-022</t>
  </si>
  <si>
    <t>Ambipur Air Freshener</t>
  </si>
  <si>
    <t>SKU-023</t>
  </si>
  <si>
    <t>Rubbermaid Storage Box</t>
  </si>
  <si>
    <t>SKU-024</t>
  </si>
  <si>
    <t>USB-C Charging Cable</t>
  </si>
  <si>
    <t>Electronics Accessories</t>
  </si>
  <si>
    <t>SKU-025</t>
  </si>
  <si>
    <t>Bluetooth Earbuds</t>
  </si>
  <si>
    <t>SKU-026</t>
  </si>
  <si>
    <t>HDMI Cable 1.5m</t>
  </si>
  <si>
    <t>SKU-027</t>
  </si>
  <si>
    <t>Power Bank 10000mAh</t>
  </si>
  <si>
    <t>SKU-028</t>
  </si>
  <si>
    <t>Phone Screen Protector</t>
  </si>
  <si>
    <t>SKU-029</t>
  </si>
  <si>
    <t>Wireless Mouse</t>
  </si>
  <si>
    <t>SKU-030</t>
  </si>
  <si>
    <t>Extension Socket 4-way</t>
  </si>
  <si>
    <t>FORMULA GUIDE (plain English):</t>
  </si>
  <si>
    <t>OnHand           = live pull of June's Closing stock from MonthlyMovement sheet (SUMIFS)</t>
  </si>
  <si>
    <t>ROP              = Avg Daily Usage x (Avg Lead Time + Lead Time Range) + Safety Stock  -&gt; the stock level that should trigger a reorder</t>
  </si>
  <si>
    <t>DaysOfSupply     = On-Hand / Avg Daily Usage  -&gt; how many days until you run out at current usage</t>
  </si>
  <si>
    <t>SuggestedReorder = (ROP x 2) - On-Hand, floored at 0  -&gt; how much to order to get back to a healthy buffer</t>
  </si>
  <si>
    <t>Status           = Out of Stock if 0 | Critical if &lt; 50% of ROP | Reorder if &lt;= ROP | Overstock if &gt; 2x ROP | else Healthy</t>
  </si>
  <si>
    <t>ABC_Class        = rank all SKUs by Annual Usage Value (Avg Daily Usage x 365 x Unit Cost), top 20% = A, next 30% = B, rest = C</t>
  </si>
  <si>
    <t>LastMovementDate = the most recent Receipt or Issue date for this SKU, pulled from Transactions</t>
  </si>
  <si>
    <t>DaysSinceLastMove= DATE(2026,6,30) - LastMovementDate  -&gt; flags slow-moving/dead stock</t>
  </si>
  <si>
    <t>NeedsReorder     = Yes if Status is Out of Stock, Critical, or Reorder  -&gt; a simple Yes/No slicer field</t>
  </si>
  <si>
    <t>EstStockoutDate  = DATE(2026,6,30) + DaysOfSupply (rounded down), or "Already Out" if OnHand is 0</t>
  </si>
  <si>
    <t xml:space="preserve">                   -&gt; turns an abstract 'days of supply' number into a real date for the Reorder Tracker page</t>
  </si>
  <si>
    <t>Opening</t>
  </si>
  <si>
    <t>Received</t>
  </si>
  <si>
    <t>Issued</t>
  </si>
  <si>
    <t>Damaged</t>
  </si>
  <si>
    <t>CycleCountAdj</t>
  </si>
  <si>
    <t>Closing</t>
  </si>
  <si>
    <t>MovementValue</t>
  </si>
  <si>
    <t>MonthEndDate</t>
  </si>
  <si>
    <t>TransactionID</t>
  </si>
  <si>
    <t>Type</t>
  </si>
  <si>
    <t>Quantity</t>
  </si>
  <si>
    <t>ResultingOnHand</t>
  </si>
  <si>
    <t>Note</t>
  </si>
  <si>
    <t>TXN-0001</t>
  </si>
  <si>
    <t>Receipt</t>
  </si>
  <si>
    <t>Initial seed receipt</t>
  </si>
  <si>
    <t>TXN-0184</t>
  </si>
  <si>
    <t>TXN-0049</t>
  </si>
  <si>
    <t>TXN-0077</t>
  </si>
  <si>
    <t>TXN-0251</t>
  </si>
  <si>
    <t>TXN-0319</t>
  </si>
  <si>
    <t>TXN-0037</t>
  </si>
  <si>
    <t>TXN-0161</t>
  </si>
  <si>
    <t>TXN-0065</t>
  </si>
  <si>
    <t>TXN-0173</t>
  </si>
  <si>
    <t>TXN-0191</t>
  </si>
  <si>
    <t>TXN-0253</t>
  </si>
  <si>
    <t>TXN-0113</t>
  </si>
  <si>
    <t>TXN-0149</t>
  </si>
  <si>
    <t>TXN-0308</t>
  </si>
  <si>
    <t>TXN-0125</t>
  </si>
  <si>
    <t>TXN-0024</t>
  </si>
  <si>
    <t>TXN-0101</t>
  </si>
  <si>
    <t>TXN-0137</t>
  </si>
  <si>
    <t>TXN-0239</t>
  </si>
  <si>
    <t>TXN-0265</t>
  </si>
  <si>
    <t>TXN-0297</t>
  </si>
  <si>
    <t>TXN-0215</t>
  </si>
  <si>
    <t>TXN-0203</t>
  </si>
  <si>
    <t>TXN-0227</t>
  </si>
  <si>
    <t>TXN-0277</t>
  </si>
  <si>
    <t>TXN-0012</t>
  </si>
  <si>
    <t>TXN-0061</t>
  </si>
  <si>
    <t>TXN-0089</t>
  </si>
  <si>
    <t>TXN-0289</t>
  </si>
  <si>
    <t>TXN-0162</t>
  </si>
  <si>
    <t>Issue</t>
  </si>
  <si>
    <t>Sales issue</t>
  </si>
  <si>
    <t>TXN-0240</t>
  </si>
  <si>
    <t>TXN-0278</t>
  </si>
  <si>
    <t>TXN-0320</t>
  </si>
  <si>
    <t>TXN-0228</t>
  </si>
  <si>
    <t>TXN-0062</t>
  </si>
  <si>
    <t>TXN-0090</t>
  </si>
  <si>
    <t>TXN-0252</t>
  </si>
  <si>
    <t>TXN-0126</t>
  </si>
  <si>
    <t>TXN-0216</t>
  </si>
  <si>
    <t>TXN-0025</t>
  </si>
  <si>
    <t>TXN-0038</t>
  </si>
  <si>
    <t>TXN-0078</t>
  </si>
  <si>
    <t>TXN-0254</t>
  </si>
  <si>
    <t>TXN-0290</t>
  </si>
  <si>
    <t>TXN-0013</t>
  </si>
  <si>
    <t>TXN-0150</t>
  </si>
  <si>
    <t>TXN-0192</t>
  </si>
  <si>
    <t>TXN-0266</t>
  </si>
  <si>
    <t>TXN-0002</t>
  </si>
  <si>
    <t>TXN-0114</t>
  </si>
  <si>
    <t>TXN-0174</t>
  </si>
  <si>
    <t>TXN-0309</t>
  </si>
  <si>
    <t>TXN-0102</t>
  </si>
  <si>
    <t>TXN-0204</t>
  </si>
  <si>
    <t>TXN-0138</t>
  </si>
  <si>
    <t>TXN-0298</t>
  </si>
  <si>
    <t>TXN-0050</t>
  </si>
  <si>
    <t>TXN-0066</t>
  </si>
  <si>
    <t>TXN-0185</t>
  </si>
  <si>
    <t>TXN-0175</t>
  </si>
  <si>
    <t>TXN-0279</t>
  </si>
  <si>
    <t>TXN-0163</t>
  </si>
  <si>
    <t>TXN-0003</t>
  </si>
  <si>
    <t>TXN-0026</t>
  </si>
  <si>
    <t>TXN-0205</t>
  </si>
  <si>
    <t>TXN-0051</t>
  </si>
  <si>
    <t>TXN-0115</t>
  </si>
  <si>
    <t>TXN-0267</t>
  </si>
  <si>
    <t>TXN-0321</t>
  </si>
  <si>
    <t>TXN-0014</t>
  </si>
  <si>
    <t>TXN-0193</t>
  </si>
  <si>
    <t>TXN-0255</t>
  </si>
  <si>
    <t>TXN-0127</t>
  </si>
  <si>
    <t>TXN-0139</t>
  </si>
  <si>
    <t>TXN-0217</t>
  </si>
  <si>
    <t>TXN-0229</t>
  </si>
  <si>
    <t>TXN-0291</t>
  </si>
  <si>
    <t>TXN-0299</t>
  </si>
  <si>
    <t>TXN-0067</t>
  </si>
  <si>
    <t>TXN-0091</t>
  </si>
  <si>
    <t>TXN-0310</t>
  </si>
  <si>
    <t>TXN-0039</t>
  </si>
  <si>
    <t>TXN-0063</t>
  </si>
  <si>
    <t>TXN-0151</t>
  </si>
  <si>
    <t>TXN-0241</t>
  </si>
  <si>
    <t>TXN-0079</t>
  </si>
  <si>
    <t>TXN-0103</t>
  </si>
  <si>
    <t>TXN-0186</t>
  </si>
  <si>
    <t>TXN-0064</t>
  </si>
  <si>
    <t>TXN-0194</t>
  </si>
  <si>
    <t>TXN-0206</t>
  </si>
  <si>
    <t>TXN-0104</t>
  </si>
  <si>
    <t>TXN-0140</t>
  </si>
  <si>
    <t>TXN-0176</t>
  </si>
  <si>
    <t>TXN-0322</t>
  </si>
  <si>
    <t>TXN-0218</t>
  </si>
  <si>
    <t>TXN-0242</t>
  </si>
  <si>
    <t>TXN-0311</t>
  </si>
  <si>
    <t>TXN-0004</t>
  </si>
  <si>
    <t>TXN-0040</t>
  </si>
  <si>
    <t>TXN-0128</t>
  </si>
  <si>
    <t>TXN-0256</t>
  </si>
  <si>
    <t>TXN-0230</t>
  </si>
  <si>
    <t>TXN-0187</t>
  </si>
  <si>
    <t>TXN-0280</t>
  </si>
  <si>
    <t>TXN-0015</t>
  </si>
  <si>
    <t>TXN-0027</t>
  </si>
  <si>
    <t>TXN-0052</t>
  </si>
  <si>
    <t>TXN-0152</t>
  </si>
  <si>
    <t>TXN-0164</t>
  </si>
  <si>
    <t>TXN-0292</t>
  </si>
  <si>
    <t>TXN-0068</t>
  </si>
  <si>
    <t>TXN-0300</t>
  </si>
  <si>
    <t>TXN-0080</t>
  </si>
  <si>
    <t>TXN-0268</t>
  </si>
  <si>
    <t>TXN-0092</t>
  </si>
  <si>
    <t>TXN-0116</t>
  </si>
  <si>
    <t>TXN-0231</t>
  </si>
  <si>
    <t>Adjustment</t>
  </si>
  <si>
    <t>Damaged goods write-off</t>
  </si>
  <si>
    <t>TXN-0257</t>
  </si>
  <si>
    <t>TXN-0016</t>
  </si>
  <si>
    <t>TXN-0028</t>
  </si>
  <si>
    <t>TXN-0129</t>
  </si>
  <si>
    <t>TXN-0269</t>
  </si>
  <si>
    <t>TXN-0301</t>
  </si>
  <si>
    <t>TXN-0153</t>
  </si>
  <si>
    <t>TXN-0243</t>
  </si>
  <si>
    <t>TXN-0069</t>
  </si>
  <si>
    <t>TXN-0081</t>
  </si>
  <si>
    <t>TXN-0093</t>
  </si>
  <si>
    <t>TXN-0141</t>
  </si>
  <si>
    <t>TXN-0177</t>
  </si>
  <si>
    <t>TXN-0232</t>
  </si>
  <si>
    <t>TXN-0281</t>
  </si>
  <si>
    <t>TXN-0312</t>
  </si>
  <si>
    <t>TXN-0005</t>
  </si>
  <si>
    <t>TXN-0053</t>
  </si>
  <si>
    <t>TXN-0293</t>
  </si>
  <si>
    <t>TXN-0117</t>
  </si>
  <si>
    <t>TXN-0195</t>
  </si>
  <si>
    <t>TXN-0207</t>
  </si>
  <si>
    <t>TXN-0323</t>
  </si>
  <si>
    <t>TXN-0105</t>
  </si>
  <si>
    <t>TXN-0041</t>
  </si>
  <si>
    <t>TXN-0219</t>
  </si>
  <si>
    <t>TXN-0188</t>
  </si>
  <si>
    <t>TXN-0165</t>
  </si>
  <si>
    <t>TXN-0106</t>
  </si>
  <si>
    <t>TXN-0142</t>
  </si>
  <si>
    <t>TXN-0208</t>
  </si>
  <si>
    <t>TXN-0017</t>
  </si>
  <si>
    <t>TXN-0029</t>
  </si>
  <si>
    <t>TXN-0302</t>
  </si>
  <si>
    <t>TXN-0006</t>
  </si>
  <si>
    <t>TXN-0054</t>
  </si>
  <si>
    <t>TXN-0118</t>
  </si>
  <si>
    <t>TXN-0070</t>
  </si>
  <si>
    <t>TXN-0270</t>
  </si>
  <si>
    <t>TXN-0294</t>
  </si>
  <si>
    <t>TXN-0154</t>
  </si>
  <si>
    <t>TXN-0166</t>
  </si>
  <si>
    <t>TXN-0313</t>
  </si>
  <si>
    <t>TXN-0189</t>
  </si>
  <si>
    <t>TXN-0030</t>
  </si>
  <si>
    <t>TXN-0082</t>
  </si>
  <si>
    <t>TXN-0244</t>
  </si>
  <si>
    <t>TXN-0258</t>
  </si>
  <si>
    <t>TXN-0282</t>
  </si>
  <si>
    <t>TXN-0042</t>
  </si>
  <si>
    <t>TXN-0130</t>
  </si>
  <si>
    <t>TXN-0324</t>
  </si>
  <si>
    <t>TXN-0190</t>
  </si>
  <si>
    <t>TXN-0196</t>
  </si>
  <si>
    <t>TXN-0094</t>
  </si>
  <si>
    <t>TXN-0178</t>
  </si>
  <si>
    <t>TXN-0220</t>
  </si>
  <si>
    <t>TXN-0233</t>
  </si>
  <si>
    <t>TXN-0234</t>
  </si>
  <si>
    <t>TXN-0295</t>
  </si>
  <si>
    <t>TXN-0179</t>
  </si>
  <si>
    <t>TXN-0197</t>
  </si>
  <si>
    <t>TXN-0083</t>
  </si>
  <si>
    <t>TXN-0271</t>
  </si>
  <si>
    <t>TXN-0303</t>
  </si>
  <si>
    <t>TXN-0031</t>
  </si>
  <si>
    <t>TXN-0095</t>
  </si>
  <si>
    <t>TXN-0259</t>
  </si>
  <si>
    <t>TXN-0283</t>
  </si>
  <si>
    <t>TXN-0043</t>
  </si>
  <si>
    <t>TXN-0107</t>
  </si>
  <si>
    <t>TXN-0131</t>
  </si>
  <si>
    <t>TXN-0155</t>
  </si>
  <si>
    <t>TXN-0119</t>
  </si>
  <si>
    <t>TXN-0167</t>
  </si>
  <si>
    <t>TXN-0245</t>
  </si>
  <si>
    <t>TXN-0209</t>
  </si>
  <si>
    <t>TXN-0325</t>
  </si>
  <si>
    <t>TXN-0007</t>
  </si>
  <si>
    <t>TXN-0018</t>
  </si>
  <si>
    <t>TXN-0071</t>
  </si>
  <si>
    <t>TXN-0055</t>
  </si>
  <si>
    <t>TXN-0221</t>
  </si>
  <si>
    <t>TXN-0143</t>
  </si>
  <si>
    <t>TXN-0314</t>
  </si>
  <si>
    <t>TXN-0096</t>
  </si>
  <si>
    <t>TXN-0132</t>
  </si>
  <si>
    <t>TXN-0008</t>
  </si>
  <si>
    <t>TXN-0120</t>
  </si>
  <si>
    <t>TXN-0044</t>
  </si>
  <si>
    <t>TXN-0144</t>
  </si>
  <si>
    <t>TXN-0168</t>
  </si>
  <si>
    <t>TXN-0180</t>
  </si>
  <si>
    <t>TXN-0272</t>
  </si>
  <si>
    <t>TXN-0056</t>
  </si>
  <si>
    <t>TXN-0210</t>
  </si>
  <si>
    <t>TXN-0235</t>
  </si>
  <si>
    <t>TXN-0246</t>
  </si>
  <si>
    <t>TXN-0284</t>
  </si>
  <si>
    <t>TXN-0304</t>
  </si>
  <si>
    <t>TXN-0019</t>
  </si>
  <si>
    <t>TXN-0084</t>
  </si>
  <si>
    <t>TXN-0072</t>
  </si>
  <si>
    <t>TXN-0315</t>
  </si>
  <si>
    <t>TXN-0222</t>
  </si>
  <si>
    <t>TXN-0260</t>
  </si>
  <si>
    <t>TXN-0108</t>
  </si>
  <si>
    <t>TXN-0198</t>
  </si>
  <si>
    <t>TXN-0032</t>
  </si>
  <si>
    <t>TXN-0156</t>
  </si>
  <si>
    <t>TXN-0296</t>
  </si>
  <si>
    <t>TXN-0326</t>
  </si>
  <si>
    <t>TXN-0157</t>
  </si>
  <si>
    <t>TXN-0169</t>
  </si>
  <si>
    <t>TXN-0316</t>
  </si>
  <si>
    <t>TXN-0236</t>
  </si>
  <si>
    <t>TXN-0020</t>
  </si>
  <si>
    <t>TXN-0305</t>
  </si>
  <si>
    <t>TXN-0033</t>
  </si>
  <si>
    <t>TXN-0097</t>
  </si>
  <si>
    <t>TXN-0223</t>
  </si>
  <si>
    <t>TXN-0247</t>
  </si>
  <si>
    <t>TXN-0057</t>
  </si>
  <si>
    <t>TXN-0073</t>
  </si>
  <si>
    <t>TXN-0133</t>
  </si>
  <si>
    <t>TXN-0261</t>
  </si>
  <si>
    <t>TXN-0121</t>
  </si>
  <si>
    <t>TXN-0145</t>
  </si>
  <si>
    <t>TXN-0181</t>
  </si>
  <si>
    <t>TXN-0327</t>
  </si>
  <si>
    <t>TXN-0109</t>
  </si>
  <si>
    <t>TXN-0199</t>
  </si>
  <si>
    <t>TXN-0273</t>
  </si>
  <si>
    <t>TXN-0009</t>
  </si>
  <si>
    <t>TXN-0085</t>
  </si>
  <si>
    <t>TXN-0211</t>
  </si>
  <si>
    <t>TXN-0285</t>
  </si>
  <si>
    <t>TXN-0045</t>
  </si>
  <si>
    <t>TXN-0237</t>
  </si>
  <si>
    <t>TXN-0146</t>
  </si>
  <si>
    <t>TXN-0170</t>
  </si>
  <si>
    <t>TXN-0212</t>
  </si>
  <si>
    <t>TXN-0224</t>
  </si>
  <si>
    <t>TXN-0034</t>
  </si>
  <si>
    <t>TXN-0262</t>
  </si>
  <si>
    <t>TXN-0306</t>
  </si>
  <si>
    <t>TXN-0098</t>
  </si>
  <si>
    <t>TXN-0010</t>
  </si>
  <si>
    <t>TXN-0158</t>
  </si>
  <si>
    <t>TXN-0248</t>
  </si>
  <si>
    <t>TXN-0086</t>
  </si>
  <si>
    <t>TXN-0122</t>
  </si>
  <si>
    <t>TXN-0110</t>
  </si>
  <si>
    <t>TXN-0134</t>
  </si>
  <si>
    <t>TXN-0200</t>
  </si>
  <si>
    <t>TXN-0058</t>
  </si>
  <si>
    <t>TXN-0182</t>
  </si>
  <si>
    <t>TXN-0274</t>
  </si>
  <si>
    <t>TXN-0317</t>
  </si>
  <si>
    <t>TXN-0074</t>
  </si>
  <si>
    <t>TXN-0021</t>
  </si>
  <si>
    <t>TXN-0328</t>
  </si>
  <si>
    <t>TXN-0046</t>
  </si>
  <si>
    <t>TXN-0286</t>
  </si>
  <si>
    <t>TXN-0075</t>
  </si>
  <si>
    <t>TXN-0159</t>
  </si>
  <si>
    <t>TXN-0087</t>
  </si>
  <si>
    <t>TXN-0201</t>
  </si>
  <si>
    <t>TXN-0275</t>
  </si>
  <si>
    <t>TXN-0287</t>
  </si>
  <si>
    <t>TXN-0099</t>
  </si>
  <si>
    <t>TXN-0147</t>
  </si>
  <si>
    <t>TXN-0249</t>
  </si>
  <si>
    <t>TXN-0329</t>
  </si>
  <si>
    <t>TXN-0022</t>
  </si>
  <si>
    <t>TXN-0059</t>
  </si>
  <si>
    <t>TXN-0123</t>
  </si>
  <si>
    <t>TXN-0135</t>
  </si>
  <si>
    <t>TXN-0047</t>
  </si>
  <si>
    <t>TXN-0111</t>
  </si>
  <si>
    <t>TXN-0171</t>
  </si>
  <si>
    <t>TXN-0263</t>
  </si>
  <si>
    <t>TXN-0035</t>
  </si>
  <si>
    <t>TXN-0213</t>
  </si>
  <si>
    <t>TXN-0225</t>
  </si>
  <si>
    <t>TXN-0076</t>
  </si>
  <si>
    <t>TXN-0148</t>
  </si>
  <si>
    <t>TXN-0160</t>
  </si>
  <si>
    <t>TXN-0183</t>
  </si>
  <si>
    <t>TXN-0124</t>
  </si>
  <si>
    <t>TXN-0023</t>
  </si>
  <si>
    <t>TXN-0036</t>
  </si>
  <si>
    <t>TXN-0214</t>
  </si>
  <si>
    <t>TXN-0226</t>
  </si>
  <si>
    <t>TXN-0318</t>
  </si>
  <si>
    <t>TXN-0330</t>
  </si>
  <si>
    <t>TXN-0060</t>
  </si>
  <si>
    <t>TXN-0112</t>
  </si>
  <si>
    <t>TXN-0136</t>
  </si>
  <si>
    <t>TXN-0288</t>
  </si>
  <si>
    <t>TXN-0011</t>
  </si>
  <si>
    <t>TXN-0100</t>
  </si>
  <si>
    <t>TXN-0264</t>
  </si>
  <si>
    <t>TXN-0048</t>
  </si>
  <si>
    <t>TXN-0202</t>
  </si>
  <si>
    <t>TXN-0307</t>
  </si>
  <si>
    <t>TXN-0250</t>
  </si>
  <si>
    <t>TXN-0088</t>
  </si>
  <si>
    <t>TXN-0172</t>
  </si>
  <si>
    <t>TXN-0238</t>
  </si>
  <si>
    <t>TXN-0276</t>
  </si>
  <si>
    <t>TXN-0331</t>
  </si>
  <si>
    <t>Cycle count adjustment</t>
  </si>
  <si>
    <t>TXN-0332</t>
  </si>
  <si>
    <t>CreatedDate</t>
  </si>
  <si>
    <t>PO_ID</t>
  </si>
  <si>
    <t>ExpectedDate</t>
  </si>
  <si>
    <t>POValue</t>
  </si>
  <si>
    <t>PO-0001</t>
  </si>
  <si>
    <t>PO-0002</t>
  </si>
  <si>
    <t>PO-0003</t>
  </si>
  <si>
    <t>PO-0004</t>
  </si>
  <si>
    <t>Pending</t>
  </si>
  <si>
    <t>PO-0005</t>
  </si>
  <si>
    <t>PO-0006</t>
  </si>
  <si>
    <t>PO-0007</t>
  </si>
  <si>
    <t>PO-0008</t>
  </si>
  <si>
    <t>PO-0009</t>
  </si>
  <si>
    <t>Already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</si>
</sst>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mmm\-yyyy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i/>
      <sz val="9"/>
      <color rgb="FF8A8AAA"/>
      <name val="Arial"/>
      <family val="2"/>
    </font>
    <font>
      <b/>
      <sz val="10"/>
      <color rgb="FF2563E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9" fontId="2" fillId="0" borderId="0" xfId="0" applyNumberFormat="1" applyFont="1"/>
    <xf numFmtId="0" fontId="3" fillId="0" borderId="0" xfId="0" applyFont="1"/>
    <xf numFmtId="166" fontId="2" fillId="0" borderId="0" xfId="0" applyNumberFormat="1" applyFont="1"/>
    <xf numFmtId="3" fontId="2" fillId="0" borderId="0" xfId="0" applyNumberFormat="1" applyFont="1"/>
    <xf numFmtId="2" fontId="2" fillId="0" borderId="0" xfId="0" applyNumberFormat="1" applyFont="1"/>
    <xf numFmtId="3" fontId="0" fillId="0" borderId="0" xfId="0" applyNumberFormat="1"/>
    <xf numFmtId="0" fontId="4" fillId="0" borderId="0" xfId="0" applyFont="1"/>
    <xf numFmtId="1" fontId="0" fillId="0" borderId="0" xfId="0" applyNumberFormat="1"/>
    <xf numFmtId="164" fontId="2" fillId="0" borderId="0" xfId="0" applyNumberFormat="1" applyFont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8">
    <dxf>
      <fill>
        <patternFill>
          <bgColor rgb="FFBBF7D0"/>
        </patternFill>
      </fill>
    </dxf>
    <dxf>
      <fill>
        <patternFill>
          <bgColor rgb="FFFDE68A"/>
        </patternFill>
      </fill>
    </dxf>
    <dxf>
      <fill>
        <patternFill>
          <bgColor rgb="FFBBF7D0"/>
        </patternFill>
      </fill>
    </dxf>
    <dxf>
      <fill>
        <patternFill>
          <bgColor rgb="FFDDD6FE"/>
        </patternFill>
      </fill>
    </dxf>
    <dxf>
      <fill>
        <patternFill>
          <bgColor rgb="FFFDE68A"/>
        </patternFill>
      </fill>
    </dxf>
    <dxf>
      <fill>
        <patternFill>
          <bgColor rgb="FFFDBA74"/>
        </patternFill>
      </fill>
    </dxf>
    <dxf>
      <fill>
        <patternFill>
          <bgColor rgb="FFFCA5A5"/>
        </patternFill>
      </fill>
    </dxf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6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DE68A"/>
      <rgbColor rgb="FF99CCFF"/>
      <rgbColor rgb="FFFCA5A5"/>
      <rgbColor rgb="FFCC99FF"/>
      <rgbColor rgb="FFFDBA74"/>
      <rgbColor rgb="FF2563EB"/>
      <rgbColor rgb="FF33CCCC"/>
      <rgbColor rgb="FF99CC00"/>
      <rgbColor rgb="FFFFCC00"/>
      <rgbColor rgb="FFFF9900"/>
      <rgbColor rgb="FFFF6600"/>
      <rgbColor rgb="FF5A5A7A"/>
      <rgbColor rgb="FF8A8AAA"/>
      <rgbColor rgb="FF003366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eTable_T" displayName="DateTable_T" ref="A1:I366" totalsRowShown="0">
  <autoFilter ref="A1:I366" xr:uid="{00000000-0009-0000-0100-000001000000}"/>
  <tableColumns count="9">
    <tableColumn id="1" xr3:uid="{00000000-0010-0000-0000-000001000000}" name="Date"/>
    <tableColumn id="2" xr3:uid="{00000000-0010-0000-0000-000002000000}" name="Year"/>
    <tableColumn id="3" xr3:uid="{00000000-0010-0000-0000-000003000000}" name="MonthNumber"/>
    <tableColumn id="4" xr3:uid="{00000000-0010-0000-0000-000004000000}" name="MonthName"/>
    <tableColumn id="5" xr3:uid="{00000000-0010-0000-0000-000005000000}" name="MonthShort"/>
    <tableColumn id="6" xr3:uid="{00000000-0010-0000-0000-000006000000}" name="MonthYear"/>
    <tableColumn id="7" xr3:uid="{00000000-0010-0000-0000-000007000000}" name="Quarter"/>
    <tableColumn id="8" xr3:uid="{00000000-0010-0000-0000-000008000000}" name="DayOfWeek"/>
    <tableColumn id="9" xr3:uid="{00000000-0010-0000-0000-000009000000}" name="IsWeeken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Suppliers_T" displayName="Suppliers_T" ref="A1:G6" totalsRowShown="0">
  <autoFilter ref="A1:G6" xr:uid="{00000000-0009-0000-0100-000006000000}"/>
  <tableColumns count="7">
    <tableColumn id="1" xr3:uid="{00000000-0010-0000-0100-000001000000}" name="SupplierID"/>
    <tableColumn id="2" xr3:uid="{00000000-0010-0000-0100-000002000000}" name="SupplierName"/>
    <tableColumn id="3" xr3:uid="{00000000-0010-0000-0100-000003000000}" name="AvgLeadTime"/>
    <tableColumn id="4" xr3:uid="{00000000-0010-0000-0100-000004000000}" name="MinLeadTime"/>
    <tableColumn id="5" xr3:uid="{00000000-0010-0000-0100-000005000000}" name="MaxLeadTime"/>
    <tableColumn id="6" xr3:uid="{00000000-0010-0000-0100-000006000000}" name="LeadTimeRange"/>
    <tableColumn id="7" xr3:uid="{00000000-0010-0000-0100-000007000000}" name="OnTimeRate%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upplierLeadTime_T" displayName="SupplierLeadTime_T" ref="A1:E31" totalsRowShown="0">
  <autoFilter ref="A1:E31" xr:uid="{00000000-0009-0000-0100-000005000000}"/>
  <tableColumns count="5">
    <tableColumn id="1" xr3:uid="{00000000-0010-0000-0200-000001000000}" name="MonthDate"/>
    <tableColumn id="2" xr3:uid="{00000000-0010-0000-0200-000002000000}" name="Month"/>
    <tableColumn id="3" xr3:uid="{00000000-0010-0000-0200-000003000000}" name="SupplierID"/>
    <tableColumn id="4" xr3:uid="{00000000-0010-0000-0200-000004000000}" name="SupplierName"/>
    <tableColumn id="5" xr3:uid="{00000000-0010-0000-0200-000005000000}" name="LeadTimeDay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Products_T" displayName="Products_T" ref="A1:W31" totalsRowShown="0">
  <autoFilter ref="A1:W31" xr:uid="{00000000-0009-0000-0100-000003000000}"/>
  <tableColumns count="23">
    <tableColumn id="1" xr3:uid="{00000000-0010-0000-0300-000001000000}" name="SKU"/>
    <tableColumn id="2" xr3:uid="{00000000-0010-0000-0300-000002000000}" name="ProductName"/>
    <tableColumn id="3" xr3:uid="{00000000-0010-0000-0300-000003000000}" name="Category"/>
    <tableColumn id="4" xr3:uid="{00000000-0010-0000-0300-000004000000}" name="SupplierID"/>
    <tableColumn id="5" xr3:uid="{00000000-0010-0000-0300-000005000000}" name="SupplierName"/>
    <tableColumn id="6" xr3:uid="{00000000-0010-0000-0300-000006000000}" name="UnitCost"/>
    <tableColumn id="7" xr3:uid="{00000000-0010-0000-0300-000007000000}" name="SafetyStock"/>
    <tableColumn id="8" xr3:uid="{00000000-0010-0000-0300-000008000000}" name="AvgDailyUsage"/>
    <tableColumn id="9" xr3:uid="{00000000-0010-0000-0300-000009000000}" name="OnHand"/>
    <tableColumn id="10" xr3:uid="{00000000-0010-0000-0300-00000A000000}" name="AvgLeadTime"/>
    <tableColumn id="11" xr3:uid="{00000000-0010-0000-0300-00000B000000}" name="LeadTimeRange"/>
    <tableColumn id="12" xr3:uid="{00000000-0010-0000-0300-00000C000000}" name="ROP"/>
    <tableColumn id="13" xr3:uid="{00000000-0010-0000-0300-00000D000000}" name="DaysOfSupply"/>
    <tableColumn id="14" xr3:uid="{00000000-0010-0000-0300-00000E000000}" name="SuggestedReorder"/>
    <tableColumn id="15" xr3:uid="{00000000-0010-0000-0300-00000F000000}" name="StockValue"/>
    <tableColumn id="16" xr3:uid="{00000000-0010-0000-0300-000010000000}" name="AnnualUsageValue"/>
    <tableColumn id="17" xr3:uid="{00000000-0010-0000-0300-000011000000}" name="Status"/>
    <tableColumn id="18" xr3:uid="{00000000-0010-0000-0300-000012000000}" name="ABC_Class"/>
    <tableColumn id="19" xr3:uid="{00000000-0010-0000-0300-000013000000}" name="LastMovementDate"/>
    <tableColumn id="20" xr3:uid="{00000000-0010-0000-0300-000014000000}" name="DaysSinceLastMove"/>
    <tableColumn id="21" xr3:uid="{00000000-0010-0000-0300-000015000000}" name="NeedsReorder"/>
    <tableColumn id="22" xr3:uid="{00000000-0010-0000-0300-000016000000}" name="StatusPriority"/>
    <tableColumn id="23" xr3:uid="{00000000-0010-0000-0300-000017000000}" name="EstStockoutDate" dataDxfId="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MonthlyMovement_T" displayName="MonthlyMovement_T" ref="A1:T181" totalsRowShown="0">
  <autoFilter ref="A1:T181" xr:uid="{00000000-0009-0000-0100-000002000000}"/>
  <tableColumns count="20">
    <tableColumn id="1" xr3:uid="{00000000-0010-0000-0400-000001000000}" name="MonthDate"/>
    <tableColumn id="2" xr3:uid="{00000000-0010-0000-0400-000002000000}" name="Month"/>
    <tableColumn id="3" xr3:uid="{00000000-0010-0000-0400-000003000000}" name="SKU"/>
    <tableColumn id="4" xr3:uid="{00000000-0010-0000-0400-000004000000}" name="ProductName"/>
    <tableColumn id="5" xr3:uid="{00000000-0010-0000-0400-000005000000}" name="Category"/>
    <tableColumn id="6" xr3:uid="{00000000-0010-0000-0400-000006000000}" name="SupplierName"/>
    <tableColumn id="7" xr3:uid="{00000000-0010-0000-0400-000007000000}" name="Opening"/>
    <tableColumn id="8" xr3:uid="{00000000-0010-0000-0400-000008000000}" name="Received"/>
    <tableColumn id="9" xr3:uid="{00000000-0010-0000-0400-000009000000}" name="Issued"/>
    <tableColumn id="10" xr3:uid="{00000000-0010-0000-0400-00000A000000}" name="Damaged"/>
    <tableColumn id="11" xr3:uid="{00000000-0010-0000-0400-00000B000000}" name="CycleCountAdj"/>
    <tableColumn id="12" xr3:uid="{00000000-0010-0000-0400-00000C000000}" name="Closing"/>
    <tableColumn id="13" xr3:uid="{00000000-0010-0000-0400-00000D000000}" name="MovementValue"/>
    <tableColumn id="14" xr3:uid="{00000000-0010-0000-0400-00000E000000}" name="ROP"/>
    <tableColumn id="15" xr3:uid="{00000000-0010-0000-0400-00000F000000}" name="DaysOfSupply"/>
    <tableColumn id="16" xr3:uid="{00000000-0010-0000-0400-000010000000}" name="Status"/>
    <tableColumn id="17" xr3:uid="{00000000-0010-0000-0400-000011000000}" name="NeedsReorder"/>
    <tableColumn id="18" xr3:uid="{00000000-0010-0000-0400-000012000000}" name="StatusPriority"/>
    <tableColumn id="19" xr3:uid="{00000000-0010-0000-0400-000013000000}" name="MonthEndDate"/>
    <tableColumn id="20" xr3:uid="{00000000-0010-0000-0400-000014000000}" name="DaysSinceLastMov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ransactions_T" displayName="Transactions_T" ref="A1:H333" totalsRowShown="0">
  <autoFilter ref="A1:H333" xr:uid="{00000000-0009-0000-0100-000007000000}"/>
  <tableColumns count="8">
    <tableColumn id="1" xr3:uid="{00000000-0010-0000-0500-000001000000}" name="TransactionID"/>
    <tableColumn id="2" xr3:uid="{00000000-0010-0000-0500-000002000000}" name="Date"/>
    <tableColumn id="3" xr3:uid="{00000000-0010-0000-0500-000003000000}" name="SKU"/>
    <tableColumn id="4" xr3:uid="{00000000-0010-0000-0500-000004000000}" name="ProductName"/>
    <tableColumn id="5" xr3:uid="{00000000-0010-0000-0500-000005000000}" name="Type"/>
    <tableColumn id="6" xr3:uid="{00000000-0010-0000-0500-000006000000}" name="Quantity"/>
    <tableColumn id="7" xr3:uid="{00000000-0010-0000-0500-000007000000}" name="ResultingOnHand"/>
    <tableColumn id="8" xr3:uid="{00000000-0010-0000-0500-000008000000}" name="Not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PurchaseOrders_T" displayName="PurchaseOrders_T" ref="A1:J10" totalsRowShown="0">
  <autoFilter ref="A1:J10" xr:uid="{00000000-0009-0000-0100-000004000000}"/>
  <tableColumns count="10">
    <tableColumn id="1" xr3:uid="{00000000-0010-0000-0600-000001000000}" name="CreatedDate"/>
    <tableColumn id="2" xr3:uid="{00000000-0010-0000-0600-000002000000}" name="PO_ID"/>
    <tableColumn id="3" xr3:uid="{00000000-0010-0000-0600-000003000000}" name="SKU"/>
    <tableColumn id="4" xr3:uid="{00000000-0010-0000-0600-000004000000}" name="ProductName"/>
    <tableColumn id="5" xr3:uid="{00000000-0010-0000-0600-000005000000}" name="SupplierID"/>
    <tableColumn id="6" xr3:uid="{00000000-0010-0000-0600-000006000000}" name="SupplierName"/>
    <tableColumn id="7" xr3:uid="{00000000-0010-0000-0600-000007000000}" name="Quantity"/>
    <tableColumn id="8" xr3:uid="{00000000-0010-0000-0600-000008000000}" name="ExpectedDate"/>
    <tableColumn id="9" xr3:uid="{00000000-0010-0000-0600-000009000000}" name="Status"/>
    <tableColumn id="10" xr3:uid="{00000000-0010-0000-0600-00000A000000}" name="PO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6"/>
  <sheetViews>
    <sheetView tabSelected="1" topLeftCell="A346" zoomScaleNormal="100" workbookViewId="0">
      <selection activeCell="B357" sqref="B357"/>
    </sheetView>
  </sheetViews>
  <sheetFormatPr defaultColWidth="8.7109375" defaultRowHeight="15" x14ac:dyDescent="0.25"/>
  <cols>
    <col min="1" max="1" width="12" customWidth="1"/>
    <col min="2" max="2" width="8" customWidth="1"/>
    <col min="3" max="4" width="12" customWidth="1"/>
    <col min="5" max="5" width="10" customWidth="1"/>
    <col min="6" max="6" width="12" customWidth="1"/>
    <col min="7" max="7" width="8" customWidth="1"/>
    <col min="8" max="8" width="12" customWidth="1"/>
    <col min="9" max="9" width="10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46023</v>
      </c>
      <c r="B2">
        <f t="shared" ref="B2:B65" si="0">YEAR(A2)</f>
        <v>2026</v>
      </c>
      <c r="C2">
        <f t="shared" ref="C2:C65" si="1">MONTH(A2)</f>
        <v>1</v>
      </c>
      <c r="D2" t="str">
        <f t="shared" ref="D2:D65" si="2">TEXT(A2,"mmmm")</f>
        <v>January</v>
      </c>
      <c r="E2" t="str">
        <f t="shared" ref="E2:E65" si="3">TEXT(A2,"mmm")</f>
        <v>Jan</v>
      </c>
      <c r="F2" t="str">
        <f t="shared" ref="F2:F65" si="4">TEXT(A2,"mmm-yyyy")</f>
        <v>Jan-2026</v>
      </c>
      <c r="G2" t="str">
        <f t="shared" ref="G2:G65" si="5">"Q"&amp;ROUNDUP(MONTH(A2)/3,0)</f>
        <v>Q1</v>
      </c>
      <c r="H2" t="str">
        <f t="shared" ref="H2:H65" si="6">TEXT(A2,"dddd")</f>
        <v>Thursday</v>
      </c>
      <c r="I2" t="str">
        <f t="shared" ref="I2:I65" si="7">IF(WEEKDAY(A2,2)&gt;5,"Yes","No")</f>
        <v>No</v>
      </c>
    </row>
    <row r="3" spans="1:9" x14ac:dyDescent="0.25">
      <c r="A3" s="2">
        <v>46024</v>
      </c>
      <c r="B3">
        <f t="shared" si="0"/>
        <v>2026</v>
      </c>
      <c r="C3">
        <f t="shared" si="1"/>
        <v>1</v>
      </c>
      <c r="D3" t="str">
        <f t="shared" si="2"/>
        <v>January</v>
      </c>
      <c r="E3" t="str">
        <f t="shared" si="3"/>
        <v>Jan</v>
      </c>
      <c r="F3" t="str">
        <f t="shared" si="4"/>
        <v>Jan-2026</v>
      </c>
      <c r="G3" t="str">
        <f t="shared" si="5"/>
        <v>Q1</v>
      </c>
      <c r="H3" t="str">
        <f t="shared" si="6"/>
        <v>Friday</v>
      </c>
      <c r="I3" t="str">
        <f t="shared" si="7"/>
        <v>No</v>
      </c>
    </row>
    <row r="4" spans="1:9" x14ac:dyDescent="0.25">
      <c r="A4" s="2">
        <v>46025</v>
      </c>
      <c r="B4">
        <f t="shared" si="0"/>
        <v>2026</v>
      </c>
      <c r="C4">
        <f t="shared" si="1"/>
        <v>1</v>
      </c>
      <c r="D4" t="str">
        <f t="shared" si="2"/>
        <v>January</v>
      </c>
      <c r="E4" t="str">
        <f t="shared" si="3"/>
        <v>Jan</v>
      </c>
      <c r="F4" t="str">
        <f t="shared" si="4"/>
        <v>Jan-2026</v>
      </c>
      <c r="G4" t="str">
        <f t="shared" si="5"/>
        <v>Q1</v>
      </c>
      <c r="H4" t="str">
        <f t="shared" si="6"/>
        <v>Saturday</v>
      </c>
      <c r="I4" t="str">
        <f t="shared" si="7"/>
        <v>Yes</v>
      </c>
    </row>
    <row r="5" spans="1:9" x14ac:dyDescent="0.25">
      <c r="A5" s="2">
        <v>46026</v>
      </c>
      <c r="B5">
        <f t="shared" si="0"/>
        <v>2026</v>
      </c>
      <c r="C5">
        <f t="shared" si="1"/>
        <v>1</v>
      </c>
      <c r="D5" t="str">
        <f t="shared" si="2"/>
        <v>January</v>
      </c>
      <c r="E5" t="str">
        <f t="shared" si="3"/>
        <v>Jan</v>
      </c>
      <c r="F5" t="str">
        <f t="shared" si="4"/>
        <v>Jan-2026</v>
      </c>
      <c r="G5" t="str">
        <f t="shared" si="5"/>
        <v>Q1</v>
      </c>
      <c r="H5" t="str">
        <f t="shared" si="6"/>
        <v>Sunday</v>
      </c>
      <c r="I5" t="str">
        <f t="shared" si="7"/>
        <v>Yes</v>
      </c>
    </row>
    <row r="6" spans="1:9" x14ac:dyDescent="0.25">
      <c r="A6" s="2">
        <v>46027</v>
      </c>
      <c r="B6">
        <f t="shared" si="0"/>
        <v>2026</v>
      </c>
      <c r="C6">
        <f t="shared" si="1"/>
        <v>1</v>
      </c>
      <c r="D6" t="str">
        <f t="shared" si="2"/>
        <v>January</v>
      </c>
      <c r="E6" t="str">
        <f t="shared" si="3"/>
        <v>Jan</v>
      </c>
      <c r="F6" t="str">
        <f t="shared" si="4"/>
        <v>Jan-2026</v>
      </c>
      <c r="G6" t="str">
        <f t="shared" si="5"/>
        <v>Q1</v>
      </c>
      <c r="H6" t="str">
        <f t="shared" si="6"/>
        <v>Monday</v>
      </c>
      <c r="I6" t="str">
        <f t="shared" si="7"/>
        <v>No</v>
      </c>
    </row>
    <row r="7" spans="1:9" x14ac:dyDescent="0.25">
      <c r="A7" s="2">
        <v>46028</v>
      </c>
      <c r="B7">
        <f t="shared" si="0"/>
        <v>2026</v>
      </c>
      <c r="C7">
        <f t="shared" si="1"/>
        <v>1</v>
      </c>
      <c r="D7" t="str">
        <f t="shared" si="2"/>
        <v>January</v>
      </c>
      <c r="E7" t="str">
        <f t="shared" si="3"/>
        <v>Jan</v>
      </c>
      <c r="F7" t="str">
        <f t="shared" si="4"/>
        <v>Jan-2026</v>
      </c>
      <c r="G7" t="str">
        <f t="shared" si="5"/>
        <v>Q1</v>
      </c>
      <c r="H7" t="str">
        <f t="shared" si="6"/>
        <v>Tuesday</v>
      </c>
      <c r="I7" t="str">
        <f t="shared" si="7"/>
        <v>No</v>
      </c>
    </row>
    <row r="8" spans="1:9" x14ac:dyDescent="0.25">
      <c r="A8" s="2">
        <v>46029</v>
      </c>
      <c r="B8">
        <f t="shared" si="0"/>
        <v>2026</v>
      </c>
      <c r="C8">
        <f t="shared" si="1"/>
        <v>1</v>
      </c>
      <c r="D8" t="str">
        <f t="shared" si="2"/>
        <v>January</v>
      </c>
      <c r="E8" t="str">
        <f t="shared" si="3"/>
        <v>Jan</v>
      </c>
      <c r="F8" t="str">
        <f t="shared" si="4"/>
        <v>Jan-2026</v>
      </c>
      <c r="G8" t="str">
        <f t="shared" si="5"/>
        <v>Q1</v>
      </c>
      <c r="H8" t="str">
        <f t="shared" si="6"/>
        <v>Wednesday</v>
      </c>
      <c r="I8" t="str">
        <f t="shared" si="7"/>
        <v>No</v>
      </c>
    </row>
    <row r="9" spans="1:9" x14ac:dyDescent="0.25">
      <c r="A9" s="2">
        <v>46030</v>
      </c>
      <c r="B9">
        <f t="shared" si="0"/>
        <v>2026</v>
      </c>
      <c r="C9">
        <f t="shared" si="1"/>
        <v>1</v>
      </c>
      <c r="D9" t="str">
        <f t="shared" si="2"/>
        <v>January</v>
      </c>
      <c r="E9" t="str">
        <f t="shared" si="3"/>
        <v>Jan</v>
      </c>
      <c r="F9" t="str">
        <f t="shared" si="4"/>
        <v>Jan-2026</v>
      </c>
      <c r="G9" t="str">
        <f t="shared" si="5"/>
        <v>Q1</v>
      </c>
      <c r="H9" t="str">
        <f t="shared" si="6"/>
        <v>Thursday</v>
      </c>
      <c r="I9" t="str">
        <f t="shared" si="7"/>
        <v>No</v>
      </c>
    </row>
    <row r="10" spans="1:9" x14ac:dyDescent="0.25">
      <c r="A10" s="2">
        <v>46031</v>
      </c>
      <c r="B10">
        <f t="shared" si="0"/>
        <v>2026</v>
      </c>
      <c r="C10">
        <f t="shared" si="1"/>
        <v>1</v>
      </c>
      <c r="D10" t="str">
        <f t="shared" si="2"/>
        <v>January</v>
      </c>
      <c r="E10" t="str">
        <f t="shared" si="3"/>
        <v>Jan</v>
      </c>
      <c r="F10" t="str">
        <f t="shared" si="4"/>
        <v>Jan-2026</v>
      </c>
      <c r="G10" t="str">
        <f t="shared" si="5"/>
        <v>Q1</v>
      </c>
      <c r="H10" t="str">
        <f t="shared" si="6"/>
        <v>Friday</v>
      </c>
      <c r="I10" t="str">
        <f t="shared" si="7"/>
        <v>No</v>
      </c>
    </row>
    <row r="11" spans="1:9" x14ac:dyDescent="0.25">
      <c r="A11" s="2">
        <v>46032</v>
      </c>
      <c r="B11">
        <f t="shared" si="0"/>
        <v>2026</v>
      </c>
      <c r="C11">
        <f t="shared" si="1"/>
        <v>1</v>
      </c>
      <c r="D11" t="str">
        <f t="shared" si="2"/>
        <v>January</v>
      </c>
      <c r="E11" t="str">
        <f t="shared" si="3"/>
        <v>Jan</v>
      </c>
      <c r="F11" t="str">
        <f t="shared" si="4"/>
        <v>Jan-2026</v>
      </c>
      <c r="G11" t="str">
        <f t="shared" si="5"/>
        <v>Q1</v>
      </c>
      <c r="H11" t="str">
        <f t="shared" si="6"/>
        <v>Saturday</v>
      </c>
      <c r="I11" t="str">
        <f t="shared" si="7"/>
        <v>Yes</v>
      </c>
    </row>
    <row r="12" spans="1:9" x14ac:dyDescent="0.25">
      <c r="A12" s="2">
        <v>46033</v>
      </c>
      <c r="B12">
        <f t="shared" si="0"/>
        <v>2026</v>
      </c>
      <c r="C12">
        <f t="shared" si="1"/>
        <v>1</v>
      </c>
      <c r="D12" t="str">
        <f t="shared" si="2"/>
        <v>January</v>
      </c>
      <c r="E12" t="str">
        <f t="shared" si="3"/>
        <v>Jan</v>
      </c>
      <c r="F12" t="str">
        <f t="shared" si="4"/>
        <v>Jan-2026</v>
      </c>
      <c r="G12" t="str">
        <f t="shared" si="5"/>
        <v>Q1</v>
      </c>
      <c r="H12" t="str">
        <f t="shared" si="6"/>
        <v>Sunday</v>
      </c>
      <c r="I12" t="str">
        <f t="shared" si="7"/>
        <v>Yes</v>
      </c>
    </row>
    <row r="13" spans="1:9" x14ac:dyDescent="0.25">
      <c r="A13" s="2">
        <v>46034</v>
      </c>
      <c r="B13">
        <f t="shared" si="0"/>
        <v>2026</v>
      </c>
      <c r="C13">
        <f t="shared" si="1"/>
        <v>1</v>
      </c>
      <c r="D13" t="str">
        <f t="shared" si="2"/>
        <v>January</v>
      </c>
      <c r="E13" t="str">
        <f t="shared" si="3"/>
        <v>Jan</v>
      </c>
      <c r="F13" t="str">
        <f t="shared" si="4"/>
        <v>Jan-2026</v>
      </c>
      <c r="G13" t="str">
        <f t="shared" si="5"/>
        <v>Q1</v>
      </c>
      <c r="H13" t="str">
        <f t="shared" si="6"/>
        <v>Monday</v>
      </c>
      <c r="I13" t="str">
        <f t="shared" si="7"/>
        <v>No</v>
      </c>
    </row>
    <row r="14" spans="1:9" x14ac:dyDescent="0.25">
      <c r="A14" s="2">
        <v>46035</v>
      </c>
      <c r="B14">
        <f t="shared" si="0"/>
        <v>2026</v>
      </c>
      <c r="C14">
        <f t="shared" si="1"/>
        <v>1</v>
      </c>
      <c r="D14" t="str">
        <f t="shared" si="2"/>
        <v>January</v>
      </c>
      <c r="E14" t="str">
        <f t="shared" si="3"/>
        <v>Jan</v>
      </c>
      <c r="F14" t="str">
        <f t="shared" si="4"/>
        <v>Jan-2026</v>
      </c>
      <c r="G14" t="str">
        <f t="shared" si="5"/>
        <v>Q1</v>
      </c>
      <c r="H14" t="str">
        <f t="shared" si="6"/>
        <v>Tuesday</v>
      </c>
      <c r="I14" t="str">
        <f t="shared" si="7"/>
        <v>No</v>
      </c>
    </row>
    <row r="15" spans="1:9" x14ac:dyDescent="0.25">
      <c r="A15" s="2">
        <v>46036</v>
      </c>
      <c r="B15">
        <f t="shared" si="0"/>
        <v>2026</v>
      </c>
      <c r="C15">
        <f t="shared" si="1"/>
        <v>1</v>
      </c>
      <c r="D15" t="str">
        <f t="shared" si="2"/>
        <v>January</v>
      </c>
      <c r="E15" t="str">
        <f t="shared" si="3"/>
        <v>Jan</v>
      </c>
      <c r="F15" t="str">
        <f t="shared" si="4"/>
        <v>Jan-2026</v>
      </c>
      <c r="G15" t="str">
        <f t="shared" si="5"/>
        <v>Q1</v>
      </c>
      <c r="H15" t="str">
        <f t="shared" si="6"/>
        <v>Wednesday</v>
      </c>
      <c r="I15" t="str">
        <f t="shared" si="7"/>
        <v>No</v>
      </c>
    </row>
    <row r="16" spans="1:9" x14ac:dyDescent="0.25">
      <c r="A16" s="2">
        <v>46037</v>
      </c>
      <c r="B16">
        <f t="shared" si="0"/>
        <v>2026</v>
      </c>
      <c r="C16">
        <f t="shared" si="1"/>
        <v>1</v>
      </c>
      <c r="D16" t="str">
        <f t="shared" si="2"/>
        <v>January</v>
      </c>
      <c r="E16" t="str">
        <f t="shared" si="3"/>
        <v>Jan</v>
      </c>
      <c r="F16" t="str">
        <f t="shared" si="4"/>
        <v>Jan-2026</v>
      </c>
      <c r="G16" t="str">
        <f t="shared" si="5"/>
        <v>Q1</v>
      </c>
      <c r="H16" t="str">
        <f t="shared" si="6"/>
        <v>Thursday</v>
      </c>
      <c r="I16" t="str">
        <f t="shared" si="7"/>
        <v>No</v>
      </c>
    </row>
    <row r="17" spans="1:9" x14ac:dyDescent="0.25">
      <c r="A17" s="2">
        <v>46038</v>
      </c>
      <c r="B17">
        <f t="shared" si="0"/>
        <v>2026</v>
      </c>
      <c r="C17">
        <f t="shared" si="1"/>
        <v>1</v>
      </c>
      <c r="D17" t="str">
        <f t="shared" si="2"/>
        <v>January</v>
      </c>
      <c r="E17" t="str">
        <f t="shared" si="3"/>
        <v>Jan</v>
      </c>
      <c r="F17" t="str">
        <f t="shared" si="4"/>
        <v>Jan-2026</v>
      </c>
      <c r="G17" t="str">
        <f t="shared" si="5"/>
        <v>Q1</v>
      </c>
      <c r="H17" t="str">
        <f t="shared" si="6"/>
        <v>Friday</v>
      </c>
      <c r="I17" t="str">
        <f t="shared" si="7"/>
        <v>No</v>
      </c>
    </row>
    <row r="18" spans="1:9" x14ac:dyDescent="0.25">
      <c r="A18" s="2">
        <v>46039</v>
      </c>
      <c r="B18">
        <f t="shared" si="0"/>
        <v>2026</v>
      </c>
      <c r="C18">
        <f t="shared" si="1"/>
        <v>1</v>
      </c>
      <c r="D18" t="str">
        <f t="shared" si="2"/>
        <v>January</v>
      </c>
      <c r="E18" t="str">
        <f t="shared" si="3"/>
        <v>Jan</v>
      </c>
      <c r="F18" t="str">
        <f t="shared" si="4"/>
        <v>Jan-2026</v>
      </c>
      <c r="G18" t="str">
        <f t="shared" si="5"/>
        <v>Q1</v>
      </c>
      <c r="H18" t="str">
        <f t="shared" si="6"/>
        <v>Saturday</v>
      </c>
      <c r="I18" t="str">
        <f t="shared" si="7"/>
        <v>Yes</v>
      </c>
    </row>
    <row r="19" spans="1:9" x14ac:dyDescent="0.25">
      <c r="A19" s="2">
        <v>46040</v>
      </c>
      <c r="B19">
        <f t="shared" si="0"/>
        <v>2026</v>
      </c>
      <c r="C19">
        <f t="shared" si="1"/>
        <v>1</v>
      </c>
      <c r="D19" t="str">
        <f t="shared" si="2"/>
        <v>January</v>
      </c>
      <c r="E19" t="str">
        <f t="shared" si="3"/>
        <v>Jan</v>
      </c>
      <c r="F19" t="str">
        <f t="shared" si="4"/>
        <v>Jan-2026</v>
      </c>
      <c r="G19" t="str">
        <f t="shared" si="5"/>
        <v>Q1</v>
      </c>
      <c r="H19" t="str">
        <f t="shared" si="6"/>
        <v>Sunday</v>
      </c>
      <c r="I19" t="str">
        <f t="shared" si="7"/>
        <v>Yes</v>
      </c>
    </row>
    <row r="20" spans="1:9" x14ac:dyDescent="0.25">
      <c r="A20" s="2">
        <v>46041</v>
      </c>
      <c r="B20">
        <f t="shared" si="0"/>
        <v>2026</v>
      </c>
      <c r="C20">
        <f t="shared" si="1"/>
        <v>1</v>
      </c>
      <c r="D20" t="str">
        <f t="shared" si="2"/>
        <v>January</v>
      </c>
      <c r="E20" t="str">
        <f t="shared" si="3"/>
        <v>Jan</v>
      </c>
      <c r="F20" t="str">
        <f t="shared" si="4"/>
        <v>Jan-2026</v>
      </c>
      <c r="G20" t="str">
        <f t="shared" si="5"/>
        <v>Q1</v>
      </c>
      <c r="H20" t="str">
        <f t="shared" si="6"/>
        <v>Monday</v>
      </c>
      <c r="I20" t="str">
        <f t="shared" si="7"/>
        <v>No</v>
      </c>
    </row>
    <row r="21" spans="1:9" x14ac:dyDescent="0.25">
      <c r="A21" s="2">
        <v>46042</v>
      </c>
      <c r="B21">
        <f t="shared" si="0"/>
        <v>2026</v>
      </c>
      <c r="C21">
        <f t="shared" si="1"/>
        <v>1</v>
      </c>
      <c r="D21" t="str">
        <f t="shared" si="2"/>
        <v>January</v>
      </c>
      <c r="E21" t="str">
        <f t="shared" si="3"/>
        <v>Jan</v>
      </c>
      <c r="F21" t="str">
        <f t="shared" si="4"/>
        <v>Jan-2026</v>
      </c>
      <c r="G21" t="str">
        <f t="shared" si="5"/>
        <v>Q1</v>
      </c>
      <c r="H21" t="str">
        <f t="shared" si="6"/>
        <v>Tuesday</v>
      </c>
      <c r="I21" t="str">
        <f t="shared" si="7"/>
        <v>No</v>
      </c>
    </row>
    <row r="22" spans="1:9" x14ac:dyDescent="0.25">
      <c r="A22" s="2">
        <v>46043</v>
      </c>
      <c r="B22">
        <f t="shared" si="0"/>
        <v>2026</v>
      </c>
      <c r="C22">
        <f t="shared" si="1"/>
        <v>1</v>
      </c>
      <c r="D22" t="str">
        <f t="shared" si="2"/>
        <v>January</v>
      </c>
      <c r="E22" t="str">
        <f t="shared" si="3"/>
        <v>Jan</v>
      </c>
      <c r="F22" t="str">
        <f t="shared" si="4"/>
        <v>Jan-2026</v>
      </c>
      <c r="G22" t="str">
        <f t="shared" si="5"/>
        <v>Q1</v>
      </c>
      <c r="H22" t="str">
        <f t="shared" si="6"/>
        <v>Wednesday</v>
      </c>
      <c r="I22" t="str">
        <f t="shared" si="7"/>
        <v>No</v>
      </c>
    </row>
    <row r="23" spans="1:9" x14ac:dyDescent="0.25">
      <c r="A23" s="2">
        <v>46044</v>
      </c>
      <c r="B23">
        <f t="shared" si="0"/>
        <v>2026</v>
      </c>
      <c r="C23">
        <f t="shared" si="1"/>
        <v>1</v>
      </c>
      <c r="D23" t="str">
        <f t="shared" si="2"/>
        <v>January</v>
      </c>
      <c r="E23" t="str">
        <f t="shared" si="3"/>
        <v>Jan</v>
      </c>
      <c r="F23" t="str">
        <f t="shared" si="4"/>
        <v>Jan-2026</v>
      </c>
      <c r="G23" t="str">
        <f t="shared" si="5"/>
        <v>Q1</v>
      </c>
      <c r="H23" t="str">
        <f t="shared" si="6"/>
        <v>Thursday</v>
      </c>
      <c r="I23" t="str">
        <f t="shared" si="7"/>
        <v>No</v>
      </c>
    </row>
    <row r="24" spans="1:9" x14ac:dyDescent="0.25">
      <c r="A24" s="2">
        <v>46045</v>
      </c>
      <c r="B24">
        <f t="shared" si="0"/>
        <v>2026</v>
      </c>
      <c r="C24">
        <f t="shared" si="1"/>
        <v>1</v>
      </c>
      <c r="D24" t="str">
        <f t="shared" si="2"/>
        <v>January</v>
      </c>
      <c r="E24" t="str">
        <f t="shared" si="3"/>
        <v>Jan</v>
      </c>
      <c r="F24" t="str">
        <f t="shared" si="4"/>
        <v>Jan-2026</v>
      </c>
      <c r="G24" t="str">
        <f t="shared" si="5"/>
        <v>Q1</v>
      </c>
      <c r="H24" t="str">
        <f t="shared" si="6"/>
        <v>Friday</v>
      </c>
      <c r="I24" t="str">
        <f t="shared" si="7"/>
        <v>No</v>
      </c>
    </row>
    <row r="25" spans="1:9" x14ac:dyDescent="0.25">
      <c r="A25" s="2">
        <v>46046</v>
      </c>
      <c r="B25">
        <f t="shared" si="0"/>
        <v>2026</v>
      </c>
      <c r="C25">
        <f t="shared" si="1"/>
        <v>1</v>
      </c>
      <c r="D25" t="str">
        <f t="shared" si="2"/>
        <v>January</v>
      </c>
      <c r="E25" t="str">
        <f t="shared" si="3"/>
        <v>Jan</v>
      </c>
      <c r="F25" t="str">
        <f t="shared" si="4"/>
        <v>Jan-2026</v>
      </c>
      <c r="G25" t="str">
        <f t="shared" si="5"/>
        <v>Q1</v>
      </c>
      <c r="H25" t="str">
        <f t="shared" si="6"/>
        <v>Saturday</v>
      </c>
      <c r="I25" t="str">
        <f t="shared" si="7"/>
        <v>Yes</v>
      </c>
    </row>
    <row r="26" spans="1:9" x14ac:dyDescent="0.25">
      <c r="A26" s="2">
        <v>46047</v>
      </c>
      <c r="B26">
        <f t="shared" si="0"/>
        <v>2026</v>
      </c>
      <c r="C26">
        <f t="shared" si="1"/>
        <v>1</v>
      </c>
      <c r="D26" t="str">
        <f t="shared" si="2"/>
        <v>January</v>
      </c>
      <c r="E26" t="str">
        <f t="shared" si="3"/>
        <v>Jan</v>
      </c>
      <c r="F26" t="str">
        <f t="shared" si="4"/>
        <v>Jan-2026</v>
      </c>
      <c r="G26" t="str">
        <f t="shared" si="5"/>
        <v>Q1</v>
      </c>
      <c r="H26" t="str">
        <f t="shared" si="6"/>
        <v>Sunday</v>
      </c>
      <c r="I26" t="str">
        <f t="shared" si="7"/>
        <v>Yes</v>
      </c>
    </row>
    <row r="27" spans="1:9" x14ac:dyDescent="0.25">
      <c r="A27" s="2">
        <v>46048</v>
      </c>
      <c r="B27">
        <f t="shared" si="0"/>
        <v>2026</v>
      </c>
      <c r="C27">
        <f t="shared" si="1"/>
        <v>1</v>
      </c>
      <c r="D27" t="str">
        <f t="shared" si="2"/>
        <v>January</v>
      </c>
      <c r="E27" t="str">
        <f t="shared" si="3"/>
        <v>Jan</v>
      </c>
      <c r="F27" t="str">
        <f t="shared" si="4"/>
        <v>Jan-2026</v>
      </c>
      <c r="G27" t="str">
        <f t="shared" si="5"/>
        <v>Q1</v>
      </c>
      <c r="H27" t="str">
        <f t="shared" si="6"/>
        <v>Monday</v>
      </c>
      <c r="I27" t="str">
        <f t="shared" si="7"/>
        <v>No</v>
      </c>
    </row>
    <row r="28" spans="1:9" x14ac:dyDescent="0.25">
      <c r="A28" s="2">
        <v>46049</v>
      </c>
      <c r="B28">
        <f t="shared" si="0"/>
        <v>2026</v>
      </c>
      <c r="C28">
        <f t="shared" si="1"/>
        <v>1</v>
      </c>
      <c r="D28" t="str">
        <f t="shared" si="2"/>
        <v>January</v>
      </c>
      <c r="E28" t="str">
        <f t="shared" si="3"/>
        <v>Jan</v>
      </c>
      <c r="F28" t="str">
        <f t="shared" si="4"/>
        <v>Jan-2026</v>
      </c>
      <c r="G28" t="str">
        <f t="shared" si="5"/>
        <v>Q1</v>
      </c>
      <c r="H28" t="str">
        <f t="shared" si="6"/>
        <v>Tuesday</v>
      </c>
      <c r="I28" t="str">
        <f t="shared" si="7"/>
        <v>No</v>
      </c>
    </row>
    <row r="29" spans="1:9" x14ac:dyDescent="0.25">
      <c r="A29" s="2">
        <v>46050</v>
      </c>
      <c r="B29">
        <f t="shared" si="0"/>
        <v>2026</v>
      </c>
      <c r="C29">
        <f t="shared" si="1"/>
        <v>1</v>
      </c>
      <c r="D29" t="str">
        <f t="shared" si="2"/>
        <v>January</v>
      </c>
      <c r="E29" t="str">
        <f t="shared" si="3"/>
        <v>Jan</v>
      </c>
      <c r="F29" t="str">
        <f t="shared" si="4"/>
        <v>Jan-2026</v>
      </c>
      <c r="G29" t="str">
        <f t="shared" si="5"/>
        <v>Q1</v>
      </c>
      <c r="H29" t="str">
        <f t="shared" si="6"/>
        <v>Wednesday</v>
      </c>
      <c r="I29" t="str">
        <f t="shared" si="7"/>
        <v>No</v>
      </c>
    </row>
    <row r="30" spans="1:9" x14ac:dyDescent="0.25">
      <c r="A30" s="2">
        <v>46051</v>
      </c>
      <c r="B30">
        <f t="shared" si="0"/>
        <v>2026</v>
      </c>
      <c r="C30">
        <f t="shared" si="1"/>
        <v>1</v>
      </c>
      <c r="D30" t="str">
        <f t="shared" si="2"/>
        <v>January</v>
      </c>
      <c r="E30" t="str">
        <f t="shared" si="3"/>
        <v>Jan</v>
      </c>
      <c r="F30" t="str">
        <f t="shared" si="4"/>
        <v>Jan-2026</v>
      </c>
      <c r="G30" t="str">
        <f t="shared" si="5"/>
        <v>Q1</v>
      </c>
      <c r="H30" t="str">
        <f t="shared" si="6"/>
        <v>Thursday</v>
      </c>
      <c r="I30" t="str">
        <f t="shared" si="7"/>
        <v>No</v>
      </c>
    </row>
    <row r="31" spans="1:9" x14ac:dyDescent="0.25">
      <c r="A31" s="2">
        <v>46052</v>
      </c>
      <c r="B31">
        <f t="shared" si="0"/>
        <v>2026</v>
      </c>
      <c r="C31">
        <f t="shared" si="1"/>
        <v>1</v>
      </c>
      <c r="D31" t="str">
        <f t="shared" si="2"/>
        <v>January</v>
      </c>
      <c r="E31" t="str">
        <f t="shared" si="3"/>
        <v>Jan</v>
      </c>
      <c r="F31" t="str">
        <f t="shared" si="4"/>
        <v>Jan-2026</v>
      </c>
      <c r="G31" t="str">
        <f t="shared" si="5"/>
        <v>Q1</v>
      </c>
      <c r="H31" t="str">
        <f t="shared" si="6"/>
        <v>Friday</v>
      </c>
      <c r="I31" t="str">
        <f t="shared" si="7"/>
        <v>No</v>
      </c>
    </row>
    <row r="32" spans="1:9" x14ac:dyDescent="0.25">
      <c r="A32" s="2">
        <v>46053</v>
      </c>
      <c r="B32">
        <f t="shared" si="0"/>
        <v>2026</v>
      </c>
      <c r="C32">
        <f t="shared" si="1"/>
        <v>1</v>
      </c>
      <c r="D32" t="str">
        <f t="shared" si="2"/>
        <v>January</v>
      </c>
      <c r="E32" t="str">
        <f t="shared" si="3"/>
        <v>Jan</v>
      </c>
      <c r="F32" t="str">
        <f t="shared" si="4"/>
        <v>Jan-2026</v>
      </c>
      <c r="G32" t="str">
        <f t="shared" si="5"/>
        <v>Q1</v>
      </c>
      <c r="H32" t="str">
        <f t="shared" si="6"/>
        <v>Saturday</v>
      </c>
      <c r="I32" t="str">
        <f t="shared" si="7"/>
        <v>Yes</v>
      </c>
    </row>
    <row r="33" spans="1:9" x14ac:dyDescent="0.25">
      <c r="A33" s="2">
        <v>46054</v>
      </c>
      <c r="B33">
        <f t="shared" si="0"/>
        <v>2026</v>
      </c>
      <c r="C33">
        <f t="shared" si="1"/>
        <v>2</v>
      </c>
      <c r="D33" t="str">
        <f t="shared" si="2"/>
        <v>February</v>
      </c>
      <c r="E33" t="str">
        <f t="shared" si="3"/>
        <v>Feb</v>
      </c>
      <c r="F33" t="str">
        <f t="shared" si="4"/>
        <v>Feb-2026</v>
      </c>
      <c r="G33" t="str">
        <f t="shared" si="5"/>
        <v>Q1</v>
      </c>
      <c r="H33" t="str">
        <f t="shared" si="6"/>
        <v>Sunday</v>
      </c>
      <c r="I33" t="str">
        <f t="shared" si="7"/>
        <v>Yes</v>
      </c>
    </row>
    <row r="34" spans="1:9" x14ac:dyDescent="0.25">
      <c r="A34" s="2">
        <v>46055</v>
      </c>
      <c r="B34">
        <f t="shared" si="0"/>
        <v>2026</v>
      </c>
      <c r="C34">
        <f t="shared" si="1"/>
        <v>2</v>
      </c>
      <c r="D34" t="str">
        <f t="shared" si="2"/>
        <v>February</v>
      </c>
      <c r="E34" t="str">
        <f t="shared" si="3"/>
        <v>Feb</v>
      </c>
      <c r="F34" t="str">
        <f t="shared" si="4"/>
        <v>Feb-2026</v>
      </c>
      <c r="G34" t="str">
        <f t="shared" si="5"/>
        <v>Q1</v>
      </c>
      <c r="H34" t="str">
        <f t="shared" si="6"/>
        <v>Monday</v>
      </c>
      <c r="I34" t="str">
        <f t="shared" si="7"/>
        <v>No</v>
      </c>
    </row>
    <row r="35" spans="1:9" x14ac:dyDescent="0.25">
      <c r="A35" s="2">
        <v>46056</v>
      </c>
      <c r="B35">
        <f t="shared" si="0"/>
        <v>2026</v>
      </c>
      <c r="C35">
        <f t="shared" si="1"/>
        <v>2</v>
      </c>
      <c r="D35" t="str">
        <f t="shared" si="2"/>
        <v>February</v>
      </c>
      <c r="E35" t="str">
        <f t="shared" si="3"/>
        <v>Feb</v>
      </c>
      <c r="F35" t="str">
        <f t="shared" si="4"/>
        <v>Feb-2026</v>
      </c>
      <c r="G35" t="str">
        <f t="shared" si="5"/>
        <v>Q1</v>
      </c>
      <c r="H35" t="str">
        <f t="shared" si="6"/>
        <v>Tuesday</v>
      </c>
      <c r="I35" t="str">
        <f t="shared" si="7"/>
        <v>No</v>
      </c>
    </row>
    <row r="36" spans="1:9" x14ac:dyDescent="0.25">
      <c r="A36" s="2">
        <v>46057</v>
      </c>
      <c r="B36">
        <f t="shared" si="0"/>
        <v>2026</v>
      </c>
      <c r="C36">
        <f t="shared" si="1"/>
        <v>2</v>
      </c>
      <c r="D36" t="str">
        <f t="shared" si="2"/>
        <v>February</v>
      </c>
      <c r="E36" t="str">
        <f t="shared" si="3"/>
        <v>Feb</v>
      </c>
      <c r="F36" t="str">
        <f t="shared" si="4"/>
        <v>Feb-2026</v>
      </c>
      <c r="G36" t="str">
        <f t="shared" si="5"/>
        <v>Q1</v>
      </c>
      <c r="H36" t="str">
        <f t="shared" si="6"/>
        <v>Wednesday</v>
      </c>
      <c r="I36" t="str">
        <f t="shared" si="7"/>
        <v>No</v>
      </c>
    </row>
    <row r="37" spans="1:9" x14ac:dyDescent="0.25">
      <c r="A37" s="2">
        <v>46058</v>
      </c>
      <c r="B37">
        <f t="shared" si="0"/>
        <v>2026</v>
      </c>
      <c r="C37">
        <f t="shared" si="1"/>
        <v>2</v>
      </c>
      <c r="D37" t="str">
        <f t="shared" si="2"/>
        <v>February</v>
      </c>
      <c r="E37" t="str">
        <f t="shared" si="3"/>
        <v>Feb</v>
      </c>
      <c r="F37" t="str">
        <f t="shared" si="4"/>
        <v>Feb-2026</v>
      </c>
      <c r="G37" t="str">
        <f t="shared" si="5"/>
        <v>Q1</v>
      </c>
      <c r="H37" t="str">
        <f t="shared" si="6"/>
        <v>Thursday</v>
      </c>
      <c r="I37" t="str">
        <f t="shared" si="7"/>
        <v>No</v>
      </c>
    </row>
    <row r="38" spans="1:9" x14ac:dyDescent="0.25">
      <c r="A38" s="2">
        <v>46059</v>
      </c>
      <c r="B38">
        <f t="shared" si="0"/>
        <v>2026</v>
      </c>
      <c r="C38">
        <f t="shared" si="1"/>
        <v>2</v>
      </c>
      <c r="D38" t="str">
        <f t="shared" si="2"/>
        <v>February</v>
      </c>
      <c r="E38" t="str">
        <f t="shared" si="3"/>
        <v>Feb</v>
      </c>
      <c r="F38" t="str">
        <f t="shared" si="4"/>
        <v>Feb-2026</v>
      </c>
      <c r="G38" t="str">
        <f t="shared" si="5"/>
        <v>Q1</v>
      </c>
      <c r="H38" t="str">
        <f t="shared" si="6"/>
        <v>Friday</v>
      </c>
      <c r="I38" t="str">
        <f t="shared" si="7"/>
        <v>No</v>
      </c>
    </row>
    <row r="39" spans="1:9" x14ac:dyDescent="0.25">
      <c r="A39" s="2">
        <v>46060</v>
      </c>
      <c r="B39">
        <f t="shared" si="0"/>
        <v>2026</v>
      </c>
      <c r="C39">
        <f t="shared" si="1"/>
        <v>2</v>
      </c>
      <c r="D39" t="str">
        <f t="shared" si="2"/>
        <v>February</v>
      </c>
      <c r="E39" t="str">
        <f t="shared" si="3"/>
        <v>Feb</v>
      </c>
      <c r="F39" t="str">
        <f t="shared" si="4"/>
        <v>Feb-2026</v>
      </c>
      <c r="G39" t="str">
        <f t="shared" si="5"/>
        <v>Q1</v>
      </c>
      <c r="H39" t="str">
        <f t="shared" si="6"/>
        <v>Saturday</v>
      </c>
      <c r="I39" t="str">
        <f t="shared" si="7"/>
        <v>Yes</v>
      </c>
    </row>
    <row r="40" spans="1:9" x14ac:dyDescent="0.25">
      <c r="A40" s="2">
        <v>46061</v>
      </c>
      <c r="B40">
        <f t="shared" si="0"/>
        <v>2026</v>
      </c>
      <c r="C40">
        <f t="shared" si="1"/>
        <v>2</v>
      </c>
      <c r="D40" t="str">
        <f t="shared" si="2"/>
        <v>February</v>
      </c>
      <c r="E40" t="str">
        <f t="shared" si="3"/>
        <v>Feb</v>
      </c>
      <c r="F40" t="str">
        <f t="shared" si="4"/>
        <v>Feb-2026</v>
      </c>
      <c r="G40" t="str">
        <f t="shared" si="5"/>
        <v>Q1</v>
      </c>
      <c r="H40" t="str">
        <f t="shared" si="6"/>
        <v>Sunday</v>
      </c>
      <c r="I40" t="str">
        <f t="shared" si="7"/>
        <v>Yes</v>
      </c>
    </row>
    <row r="41" spans="1:9" x14ac:dyDescent="0.25">
      <c r="A41" s="2">
        <v>46062</v>
      </c>
      <c r="B41">
        <f t="shared" si="0"/>
        <v>2026</v>
      </c>
      <c r="C41">
        <f t="shared" si="1"/>
        <v>2</v>
      </c>
      <c r="D41" t="str">
        <f t="shared" si="2"/>
        <v>February</v>
      </c>
      <c r="E41" t="str">
        <f t="shared" si="3"/>
        <v>Feb</v>
      </c>
      <c r="F41" t="str">
        <f t="shared" si="4"/>
        <v>Feb-2026</v>
      </c>
      <c r="G41" t="str">
        <f t="shared" si="5"/>
        <v>Q1</v>
      </c>
      <c r="H41" t="str">
        <f t="shared" si="6"/>
        <v>Monday</v>
      </c>
      <c r="I41" t="str">
        <f t="shared" si="7"/>
        <v>No</v>
      </c>
    </row>
    <row r="42" spans="1:9" x14ac:dyDescent="0.25">
      <c r="A42" s="2">
        <v>46063</v>
      </c>
      <c r="B42">
        <f t="shared" si="0"/>
        <v>2026</v>
      </c>
      <c r="C42">
        <f t="shared" si="1"/>
        <v>2</v>
      </c>
      <c r="D42" t="str">
        <f t="shared" si="2"/>
        <v>February</v>
      </c>
      <c r="E42" t="str">
        <f t="shared" si="3"/>
        <v>Feb</v>
      </c>
      <c r="F42" t="str">
        <f t="shared" si="4"/>
        <v>Feb-2026</v>
      </c>
      <c r="G42" t="str">
        <f t="shared" si="5"/>
        <v>Q1</v>
      </c>
      <c r="H42" t="str">
        <f t="shared" si="6"/>
        <v>Tuesday</v>
      </c>
      <c r="I42" t="str">
        <f t="shared" si="7"/>
        <v>No</v>
      </c>
    </row>
    <row r="43" spans="1:9" x14ac:dyDescent="0.25">
      <c r="A43" s="2">
        <v>46064</v>
      </c>
      <c r="B43">
        <f t="shared" si="0"/>
        <v>2026</v>
      </c>
      <c r="C43">
        <f t="shared" si="1"/>
        <v>2</v>
      </c>
      <c r="D43" t="str">
        <f t="shared" si="2"/>
        <v>February</v>
      </c>
      <c r="E43" t="str">
        <f t="shared" si="3"/>
        <v>Feb</v>
      </c>
      <c r="F43" t="str">
        <f t="shared" si="4"/>
        <v>Feb-2026</v>
      </c>
      <c r="G43" t="str">
        <f t="shared" si="5"/>
        <v>Q1</v>
      </c>
      <c r="H43" t="str">
        <f t="shared" si="6"/>
        <v>Wednesday</v>
      </c>
      <c r="I43" t="str">
        <f t="shared" si="7"/>
        <v>No</v>
      </c>
    </row>
    <row r="44" spans="1:9" x14ac:dyDescent="0.25">
      <c r="A44" s="2">
        <v>46065</v>
      </c>
      <c r="B44">
        <f t="shared" si="0"/>
        <v>2026</v>
      </c>
      <c r="C44">
        <f t="shared" si="1"/>
        <v>2</v>
      </c>
      <c r="D44" t="str">
        <f t="shared" si="2"/>
        <v>February</v>
      </c>
      <c r="E44" t="str">
        <f t="shared" si="3"/>
        <v>Feb</v>
      </c>
      <c r="F44" t="str">
        <f t="shared" si="4"/>
        <v>Feb-2026</v>
      </c>
      <c r="G44" t="str">
        <f t="shared" si="5"/>
        <v>Q1</v>
      </c>
      <c r="H44" t="str">
        <f t="shared" si="6"/>
        <v>Thursday</v>
      </c>
      <c r="I44" t="str">
        <f t="shared" si="7"/>
        <v>No</v>
      </c>
    </row>
    <row r="45" spans="1:9" x14ac:dyDescent="0.25">
      <c r="A45" s="2">
        <v>46066</v>
      </c>
      <c r="B45">
        <f t="shared" si="0"/>
        <v>2026</v>
      </c>
      <c r="C45">
        <f t="shared" si="1"/>
        <v>2</v>
      </c>
      <c r="D45" t="str">
        <f t="shared" si="2"/>
        <v>February</v>
      </c>
      <c r="E45" t="str">
        <f t="shared" si="3"/>
        <v>Feb</v>
      </c>
      <c r="F45" t="str">
        <f t="shared" si="4"/>
        <v>Feb-2026</v>
      </c>
      <c r="G45" t="str">
        <f t="shared" si="5"/>
        <v>Q1</v>
      </c>
      <c r="H45" t="str">
        <f t="shared" si="6"/>
        <v>Friday</v>
      </c>
      <c r="I45" t="str">
        <f t="shared" si="7"/>
        <v>No</v>
      </c>
    </row>
    <row r="46" spans="1:9" x14ac:dyDescent="0.25">
      <c r="A46" s="2">
        <v>46067</v>
      </c>
      <c r="B46">
        <f t="shared" si="0"/>
        <v>2026</v>
      </c>
      <c r="C46">
        <f t="shared" si="1"/>
        <v>2</v>
      </c>
      <c r="D46" t="str">
        <f t="shared" si="2"/>
        <v>February</v>
      </c>
      <c r="E46" t="str">
        <f t="shared" si="3"/>
        <v>Feb</v>
      </c>
      <c r="F46" t="str">
        <f t="shared" si="4"/>
        <v>Feb-2026</v>
      </c>
      <c r="G46" t="str">
        <f t="shared" si="5"/>
        <v>Q1</v>
      </c>
      <c r="H46" t="str">
        <f t="shared" si="6"/>
        <v>Saturday</v>
      </c>
      <c r="I46" t="str">
        <f t="shared" si="7"/>
        <v>Yes</v>
      </c>
    </row>
    <row r="47" spans="1:9" x14ac:dyDescent="0.25">
      <c r="A47" s="2">
        <v>46068</v>
      </c>
      <c r="B47">
        <f t="shared" si="0"/>
        <v>2026</v>
      </c>
      <c r="C47">
        <f t="shared" si="1"/>
        <v>2</v>
      </c>
      <c r="D47" t="str">
        <f t="shared" si="2"/>
        <v>February</v>
      </c>
      <c r="E47" t="str">
        <f t="shared" si="3"/>
        <v>Feb</v>
      </c>
      <c r="F47" t="str">
        <f t="shared" si="4"/>
        <v>Feb-2026</v>
      </c>
      <c r="G47" t="str">
        <f t="shared" si="5"/>
        <v>Q1</v>
      </c>
      <c r="H47" t="str">
        <f t="shared" si="6"/>
        <v>Sunday</v>
      </c>
      <c r="I47" t="str">
        <f t="shared" si="7"/>
        <v>Yes</v>
      </c>
    </row>
    <row r="48" spans="1:9" x14ac:dyDescent="0.25">
      <c r="A48" s="2">
        <v>46069</v>
      </c>
      <c r="B48">
        <f t="shared" si="0"/>
        <v>2026</v>
      </c>
      <c r="C48">
        <f t="shared" si="1"/>
        <v>2</v>
      </c>
      <c r="D48" t="str">
        <f t="shared" si="2"/>
        <v>February</v>
      </c>
      <c r="E48" t="str">
        <f t="shared" si="3"/>
        <v>Feb</v>
      </c>
      <c r="F48" t="str">
        <f t="shared" si="4"/>
        <v>Feb-2026</v>
      </c>
      <c r="G48" t="str">
        <f t="shared" si="5"/>
        <v>Q1</v>
      </c>
      <c r="H48" t="str">
        <f t="shared" si="6"/>
        <v>Monday</v>
      </c>
      <c r="I48" t="str">
        <f t="shared" si="7"/>
        <v>No</v>
      </c>
    </row>
    <row r="49" spans="1:9" x14ac:dyDescent="0.25">
      <c r="A49" s="2">
        <v>46070</v>
      </c>
      <c r="B49">
        <f t="shared" si="0"/>
        <v>2026</v>
      </c>
      <c r="C49">
        <f t="shared" si="1"/>
        <v>2</v>
      </c>
      <c r="D49" t="str">
        <f t="shared" si="2"/>
        <v>February</v>
      </c>
      <c r="E49" t="str">
        <f t="shared" si="3"/>
        <v>Feb</v>
      </c>
      <c r="F49" t="str">
        <f t="shared" si="4"/>
        <v>Feb-2026</v>
      </c>
      <c r="G49" t="str">
        <f t="shared" si="5"/>
        <v>Q1</v>
      </c>
      <c r="H49" t="str">
        <f t="shared" si="6"/>
        <v>Tuesday</v>
      </c>
      <c r="I49" t="str">
        <f t="shared" si="7"/>
        <v>No</v>
      </c>
    </row>
    <row r="50" spans="1:9" x14ac:dyDescent="0.25">
      <c r="A50" s="2">
        <v>46071</v>
      </c>
      <c r="B50">
        <f t="shared" si="0"/>
        <v>2026</v>
      </c>
      <c r="C50">
        <f t="shared" si="1"/>
        <v>2</v>
      </c>
      <c r="D50" t="str">
        <f t="shared" si="2"/>
        <v>February</v>
      </c>
      <c r="E50" t="str">
        <f t="shared" si="3"/>
        <v>Feb</v>
      </c>
      <c r="F50" t="str">
        <f t="shared" si="4"/>
        <v>Feb-2026</v>
      </c>
      <c r="G50" t="str">
        <f t="shared" si="5"/>
        <v>Q1</v>
      </c>
      <c r="H50" t="str">
        <f t="shared" si="6"/>
        <v>Wednesday</v>
      </c>
      <c r="I50" t="str">
        <f t="shared" si="7"/>
        <v>No</v>
      </c>
    </row>
    <row r="51" spans="1:9" x14ac:dyDescent="0.25">
      <c r="A51" s="2">
        <v>46072</v>
      </c>
      <c r="B51">
        <f t="shared" si="0"/>
        <v>2026</v>
      </c>
      <c r="C51">
        <f t="shared" si="1"/>
        <v>2</v>
      </c>
      <c r="D51" t="str">
        <f t="shared" si="2"/>
        <v>February</v>
      </c>
      <c r="E51" t="str">
        <f t="shared" si="3"/>
        <v>Feb</v>
      </c>
      <c r="F51" t="str">
        <f t="shared" si="4"/>
        <v>Feb-2026</v>
      </c>
      <c r="G51" t="str">
        <f t="shared" si="5"/>
        <v>Q1</v>
      </c>
      <c r="H51" t="str">
        <f t="shared" si="6"/>
        <v>Thursday</v>
      </c>
      <c r="I51" t="str">
        <f t="shared" si="7"/>
        <v>No</v>
      </c>
    </row>
    <row r="52" spans="1:9" x14ac:dyDescent="0.25">
      <c r="A52" s="2">
        <v>46073</v>
      </c>
      <c r="B52">
        <f t="shared" si="0"/>
        <v>2026</v>
      </c>
      <c r="C52">
        <f t="shared" si="1"/>
        <v>2</v>
      </c>
      <c r="D52" t="str">
        <f t="shared" si="2"/>
        <v>February</v>
      </c>
      <c r="E52" t="str">
        <f t="shared" si="3"/>
        <v>Feb</v>
      </c>
      <c r="F52" t="str">
        <f t="shared" si="4"/>
        <v>Feb-2026</v>
      </c>
      <c r="G52" t="str">
        <f t="shared" si="5"/>
        <v>Q1</v>
      </c>
      <c r="H52" t="str">
        <f t="shared" si="6"/>
        <v>Friday</v>
      </c>
      <c r="I52" t="str">
        <f t="shared" si="7"/>
        <v>No</v>
      </c>
    </row>
    <row r="53" spans="1:9" x14ac:dyDescent="0.25">
      <c r="A53" s="2">
        <v>46074</v>
      </c>
      <c r="B53">
        <f t="shared" si="0"/>
        <v>2026</v>
      </c>
      <c r="C53">
        <f t="shared" si="1"/>
        <v>2</v>
      </c>
      <c r="D53" t="str">
        <f t="shared" si="2"/>
        <v>February</v>
      </c>
      <c r="E53" t="str">
        <f t="shared" si="3"/>
        <v>Feb</v>
      </c>
      <c r="F53" t="str">
        <f t="shared" si="4"/>
        <v>Feb-2026</v>
      </c>
      <c r="G53" t="str">
        <f t="shared" si="5"/>
        <v>Q1</v>
      </c>
      <c r="H53" t="str">
        <f t="shared" si="6"/>
        <v>Saturday</v>
      </c>
      <c r="I53" t="str">
        <f t="shared" si="7"/>
        <v>Yes</v>
      </c>
    </row>
    <row r="54" spans="1:9" x14ac:dyDescent="0.25">
      <c r="A54" s="2">
        <v>46075</v>
      </c>
      <c r="B54">
        <f t="shared" si="0"/>
        <v>2026</v>
      </c>
      <c r="C54">
        <f t="shared" si="1"/>
        <v>2</v>
      </c>
      <c r="D54" t="str">
        <f t="shared" si="2"/>
        <v>February</v>
      </c>
      <c r="E54" t="str">
        <f t="shared" si="3"/>
        <v>Feb</v>
      </c>
      <c r="F54" t="str">
        <f t="shared" si="4"/>
        <v>Feb-2026</v>
      </c>
      <c r="G54" t="str">
        <f t="shared" si="5"/>
        <v>Q1</v>
      </c>
      <c r="H54" t="str">
        <f t="shared" si="6"/>
        <v>Sunday</v>
      </c>
      <c r="I54" t="str">
        <f t="shared" si="7"/>
        <v>Yes</v>
      </c>
    </row>
    <row r="55" spans="1:9" x14ac:dyDescent="0.25">
      <c r="A55" s="2">
        <v>46076</v>
      </c>
      <c r="B55">
        <f t="shared" si="0"/>
        <v>2026</v>
      </c>
      <c r="C55">
        <f t="shared" si="1"/>
        <v>2</v>
      </c>
      <c r="D55" t="str">
        <f t="shared" si="2"/>
        <v>February</v>
      </c>
      <c r="E55" t="str">
        <f t="shared" si="3"/>
        <v>Feb</v>
      </c>
      <c r="F55" t="str">
        <f t="shared" si="4"/>
        <v>Feb-2026</v>
      </c>
      <c r="G55" t="str">
        <f t="shared" si="5"/>
        <v>Q1</v>
      </c>
      <c r="H55" t="str">
        <f t="shared" si="6"/>
        <v>Monday</v>
      </c>
      <c r="I55" t="str">
        <f t="shared" si="7"/>
        <v>No</v>
      </c>
    </row>
    <row r="56" spans="1:9" x14ac:dyDescent="0.25">
      <c r="A56" s="2">
        <v>46077</v>
      </c>
      <c r="B56">
        <f t="shared" si="0"/>
        <v>2026</v>
      </c>
      <c r="C56">
        <f t="shared" si="1"/>
        <v>2</v>
      </c>
      <c r="D56" t="str">
        <f t="shared" si="2"/>
        <v>February</v>
      </c>
      <c r="E56" t="str">
        <f t="shared" si="3"/>
        <v>Feb</v>
      </c>
      <c r="F56" t="str">
        <f t="shared" si="4"/>
        <v>Feb-2026</v>
      </c>
      <c r="G56" t="str">
        <f t="shared" si="5"/>
        <v>Q1</v>
      </c>
      <c r="H56" t="str">
        <f t="shared" si="6"/>
        <v>Tuesday</v>
      </c>
      <c r="I56" t="str">
        <f t="shared" si="7"/>
        <v>No</v>
      </c>
    </row>
    <row r="57" spans="1:9" x14ac:dyDescent="0.25">
      <c r="A57" s="2">
        <v>46078</v>
      </c>
      <c r="B57">
        <f t="shared" si="0"/>
        <v>2026</v>
      </c>
      <c r="C57">
        <f t="shared" si="1"/>
        <v>2</v>
      </c>
      <c r="D57" t="str">
        <f t="shared" si="2"/>
        <v>February</v>
      </c>
      <c r="E57" t="str">
        <f t="shared" si="3"/>
        <v>Feb</v>
      </c>
      <c r="F57" t="str">
        <f t="shared" si="4"/>
        <v>Feb-2026</v>
      </c>
      <c r="G57" t="str">
        <f t="shared" si="5"/>
        <v>Q1</v>
      </c>
      <c r="H57" t="str">
        <f t="shared" si="6"/>
        <v>Wednesday</v>
      </c>
      <c r="I57" t="str">
        <f t="shared" si="7"/>
        <v>No</v>
      </c>
    </row>
    <row r="58" spans="1:9" x14ac:dyDescent="0.25">
      <c r="A58" s="2">
        <v>46079</v>
      </c>
      <c r="B58">
        <f t="shared" si="0"/>
        <v>2026</v>
      </c>
      <c r="C58">
        <f t="shared" si="1"/>
        <v>2</v>
      </c>
      <c r="D58" t="str">
        <f t="shared" si="2"/>
        <v>February</v>
      </c>
      <c r="E58" t="str">
        <f t="shared" si="3"/>
        <v>Feb</v>
      </c>
      <c r="F58" t="str">
        <f t="shared" si="4"/>
        <v>Feb-2026</v>
      </c>
      <c r="G58" t="str">
        <f t="shared" si="5"/>
        <v>Q1</v>
      </c>
      <c r="H58" t="str">
        <f t="shared" si="6"/>
        <v>Thursday</v>
      </c>
      <c r="I58" t="str">
        <f t="shared" si="7"/>
        <v>No</v>
      </c>
    </row>
    <row r="59" spans="1:9" x14ac:dyDescent="0.25">
      <c r="A59" s="2">
        <v>46080</v>
      </c>
      <c r="B59">
        <f t="shared" si="0"/>
        <v>2026</v>
      </c>
      <c r="C59">
        <f t="shared" si="1"/>
        <v>2</v>
      </c>
      <c r="D59" t="str">
        <f t="shared" si="2"/>
        <v>February</v>
      </c>
      <c r="E59" t="str">
        <f t="shared" si="3"/>
        <v>Feb</v>
      </c>
      <c r="F59" t="str">
        <f t="shared" si="4"/>
        <v>Feb-2026</v>
      </c>
      <c r="G59" t="str">
        <f t="shared" si="5"/>
        <v>Q1</v>
      </c>
      <c r="H59" t="str">
        <f t="shared" si="6"/>
        <v>Friday</v>
      </c>
      <c r="I59" t="str">
        <f t="shared" si="7"/>
        <v>No</v>
      </c>
    </row>
    <row r="60" spans="1:9" x14ac:dyDescent="0.25">
      <c r="A60" s="2">
        <v>46081</v>
      </c>
      <c r="B60">
        <f t="shared" si="0"/>
        <v>2026</v>
      </c>
      <c r="C60">
        <f t="shared" si="1"/>
        <v>2</v>
      </c>
      <c r="D60" t="str">
        <f t="shared" si="2"/>
        <v>February</v>
      </c>
      <c r="E60" t="str">
        <f t="shared" si="3"/>
        <v>Feb</v>
      </c>
      <c r="F60" t="str">
        <f t="shared" si="4"/>
        <v>Feb-2026</v>
      </c>
      <c r="G60" t="str">
        <f t="shared" si="5"/>
        <v>Q1</v>
      </c>
      <c r="H60" t="str">
        <f t="shared" si="6"/>
        <v>Saturday</v>
      </c>
      <c r="I60" t="str">
        <f t="shared" si="7"/>
        <v>Yes</v>
      </c>
    </row>
    <row r="61" spans="1:9" x14ac:dyDescent="0.25">
      <c r="A61" s="2">
        <v>46082</v>
      </c>
      <c r="B61">
        <f t="shared" si="0"/>
        <v>2026</v>
      </c>
      <c r="C61">
        <f t="shared" si="1"/>
        <v>3</v>
      </c>
      <c r="D61" t="str">
        <f t="shared" si="2"/>
        <v>March</v>
      </c>
      <c r="E61" t="str">
        <f t="shared" si="3"/>
        <v>Mar</v>
      </c>
      <c r="F61" t="str">
        <f t="shared" si="4"/>
        <v>Mar-2026</v>
      </c>
      <c r="G61" t="str">
        <f t="shared" si="5"/>
        <v>Q1</v>
      </c>
      <c r="H61" t="str">
        <f t="shared" si="6"/>
        <v>Sunday</v>
      </c>
      <c r="I61" t="str">
        <f t="shared" si="7"/>
        <v>Yes</v>
      </c>
    </row>
    <row r="62" spans="1:9" x14ac:dyDescent="0.25">
      <c r="A62" s="2">
        <v>46083</v>
      </c>
      <c r="B62">
        <f t="shared" si="0"/>
        <v>2026</v>
      </c>
      <c r="C62">
        <f t="shared" si="1"/>
        <v>3</v>
      </c>
      <c r="D62" t="str">
        <f t="shared" si="2"/>
        <v>March</v>
      </c>
      <c r="E62" t="str">
        <f t="shared" si="3"/>
        <v>Mar</v>
      </c>
      <c r="F62" t="str">
        <f t="shared" si="4"/>
        <v>Mar-2026</v>
      </c>
      <c r="G62" t="str">
        <f t="shared" si="5"/>
        <v>Q1</v>
      </c>
      <c r="H62" t="str">
        <f t="shared" si="6"/>
        <v>Monday</v>
      </c>
      <c r="I62" t="str">
        <f t="shared" si="7"/>
        <v>No</v>
      </c>
    </row>
    <row r="63" spans="1:9" x14ac:dyDescent="0.25">
      <c r="A63" s="2">
        <v>46084</v>
      </c>
      <c r="B63">
        <f t="shared" si="0"/>
        <v>2026</v>
      </c>
      <c r="C63">
        <f t="shared" si="1"/>
        <v>3</v>
      </c>
      <c r="D63" t="str">
        <f t="shared" si="2"/>
        <v>March</v>
      </c>
      <c r="E63" t="str">
        <f t="shared" si="3"/>
        <v>Mar</v>
      </c>
      <c r="F63" t="str">
        <f t="shared" si="4"/>
        <v>Mar-2026</v>
      </c>
      <c r="G63" t="str">
        <f t="shared" si="5"/>
        <v>Q1</v>
      </c>
      <c r="H63" t="str">
        <f t="shared" si="6"/>
        <v>Tuesday</v>
      </c>
      <c r="I63" t="str">
        <f t="shared" si="7"/>
        <v>No</v>
      </c>
    </row>
    <row r="64" spans="1:9" x14ac:dyDescent="0.25">
      <c r="A64" s="2">
        <v>46085</v>
      </c>
      <c r="B64">
        <f t="shared" si="0"/>
        <v>2026</v>
      </c>
      <c r="C64">
        <f t="shared" si="1"/>
        <v>3</v>
      </c>
      <c r="D64" t="str">
        <f t="shared" si="2"/>
        <v>March</v>
      </c>
      <c r="E64" t="str">
        <f t="shared" si="3"/>
        <v>Mar</v>
      </c>
      <c r="F64" t="str">
        <f t="shared" si="4"/>
        <v>Mar-2026</v>
      </c>
      <c r="G64" t="str">
        <f t="shared" si="5"/>
        <v>Q1</v>
      </c>
      <c r="H64" t="str">
        <f t="shared" si="6"/>
        <v>Wednesday</v>
      </c>
      <c r="I64" t="str">
        <f t="shared" si="7"/>
        <v>No</v>
      </c>
    </row>
    <row r="65" spans="1:9" x14ac:dyDescent="0.25">
      <c r="A65" s="2">
        <v>46086</v>
      </c>
      <c r="B65">
        <f t="shared" si="0"/>
        <v>2026</v>
      </c>
      <c r="C65">
        <f t="shared" si="1"/>
        <v>3</v>
      </c>
      <c r="D65" t="str">
        <f t="shared" si="2"/>
        <v>March</v>
      </c>
      <c r="E65" t="str">
        <f t="shared" si="3"/>
        <v>Mar</v>
      </c>
      <c r="F65" t="str">
        <f t="shared" si="4"/>
        <v>Mar-2026</v>
      </c>
      <c r="G65" t="str">
        <f t="shared" si="5"/>
        <v>Q1</v>
      </c>
      <c r="H65" t="str">
        <f t="shared" si="6"/>
        <v>Thursday</v>
      </c>
      <c r="I65" t="str">
        <f t="shared" si="7"/>
        <v>No</v>
      </c>
    </row>
    <row r="66" spans="1:9" x14ac:dyDescent="0.25">
      <c r="A66" s="2">
        <v>46087</v>
      </c>
      <c r="B66">
        <f t="shared" ref="B66:B129" si="8">YEAR(A66)</f>
        <v>2026</v>
      </c>
      <c r="C66">
        <f t="shared" ref="C66:C129" si="9">MONTH(A66)</f>
        <v>3</v>
      </c>
      <c r="D66" t="str">
        <f t="shared" ref="D66:D129" si="10">TEXT(A66,"mmmm")</f>
        <v>March</v>
      </c>
      <c r="E66" t="str">
        <f t="shared" ref="E66:E129" si="11">TEXT(A66,"mmm")</f>
        <v>Mar</v>
      </c>
      <c r="F66" t="str">
        <f t="shared" ref="F66:F129" si="12">TEXT(A66,"mmm-yyyy")</f>
        <v>Mar-2026</v>
      </c>
      <c r="G66" t="str">
        <f t="shared" ref="G66:G129" si="13">"Q"&amp;ROUNDUP(MONTH(A66)/3,0)</f>
        <v>Q1</v>
      </c>
      <c r="H66" t="str">
        <f t="shared" ref="H66:H129" si="14">TEXT(A66,"dddd")</f>
        <v>Friday</v>
      </c>
      <c r="I66" t="str">
        <f t="shared" ref="I66:I129" si="15">IF(WEEKDAY(A66,2)&gt;5,"Yes","No")</f>
        <v>No</v>
      </c>
    </row>
    <row r="67" spans="1:9" x14ac:dyDescent="0.25">
      <c r="A67" s="2">
        <v>46088</v>
      </c>
      <c r="B67">
        <f t="shared" si="8"/>
        <v>2026</v>
      </c>
      <c r="C67">
        <f t="shared" si="9"/>
        <v>3</v>
      </c>
      <c r="D67" t="str">
        <f t="shared" si="10"/>
        <v>March</v>
      </c>
      <c r="E67" t="str">
        <f t="shared" si="11"/>
        <v>Mar</v>
      </c>
      <c r="F67" t="str">
        <f t="shared" si="12"/>
        <v>Mar-2026</v>
      </c>
      <c r="G67" t="str">
        <f t="shared" si="13"/>
        <v>Q1</v>
      </c>
      <c r="H67" t="str">
        <f t="shared" si="14"/>
        <v>Saturday</v>
      </c>
      <c r="I67" t="str">
        <f t="shared" si="15"/>
        <v>Yes</v>
      </c>
    </row>
    <row r="68" spans="1:9" x14ac:dyDescent="0.25">
      <c r="A68" s="2">
        <v>46089</v>
      </c>
      <c r="B68">
        <f t="shared" si="8"/>
        <v>2026</v>
      </c>
      <c r="C68">
        <f t="shared" si="9"/>
        <v>3</v>
      </c>
      <c r="D68" t="str">
        <f t="shared" si="10"/>
        <v>March</v>
      </c>
      <c r="E68" t="str">
        <f t="shared" si="11"/>
        <v>Mar</v>
      </c>
      <c r="F68" t="str">
        <f t="shared" si="12"/>
        <v>Mar-2026</v>
      </c>
      <c r="G68" t="str">
        <f t="shared" si="13"/>
        <v>Q1</v>
      </c>
      <c r="H68" t="str">
        <f t="shared" si="14"/>
        <v>Sunday</v>
      </c>
      <c r="I68" t="str">
        <f t="shared" si="15"/>
        <v>Yes</v>
      </c>
    </row>
    <row r="69" spans="1:9" x14ac:dyDescent="0.25">
      <c r="A69" s="2">
        <v>46090</v>
      </c>
      <c r="B69">
        <f t="shared" si="8"/>
        <v>2026</v>
      </c>
      <c r="C69">
        <f t="shared" si="9"/>
        <v>3</v>
      </c>
      <c r="D69" t="str">
        <f t="shared" si="10"/>
        <v>March</v>
      </c>
      <c r="E69" t="str">
        <f t="shared" si="11"/>
        <v>Mar</v>
      </c>
      <c r="F69" t="str">
        <f t="shared" si="12"/>
        <v>Mar-2026</v>
      </c>
      <c r="G69" t="str">
        <f t="shared" si="13"/>
        <v>Q1</v>
      </c>
      <c r="H69" t="str">
        <f t="shared" si="14"/>
        <v>Monday</v>
      </c>
      <c r="I69" t="str">
        <f t="shared" si="15"/>
        <v>No</v>
      </c>
    </row>
    <row r="70" spans="1:9" x14ac:dyDescent="0.25">
      <c r="A70" s="2">
        <v>46091</v>
      </c>
      <c r="B70">
        <f t="shared" si="8"/>
        <v>2026</v>
      </c>
      <c r="C70">
        <f t="shared" si="9"/>
        <v>3</v>
      </c>
      <c r="D70" t="str">
        <f t="shared" si="10"/>
        <v>March</v>
      </c>
      <c r="E70" t="str">
        <f t="shared" si="11"/>
        <v>Mar</v>
      </c>
      <c r="F70" t="str">
        <f t="shared" si="12"/>
        <v>Mar-2026</v>
      </c>
      <c r="G70" t="str">
        <f t="shared" si="13"/>
        <v>Q1</v>
      </c>
      <c r="H70" t="str">
        <f t="shared" si="14"/>
        <v>Tuesday</v>
      </c>
      <c r="I70" t="str">
        <f t="shared" si="15"/>
        <v>No</v>
      </c>
    </row>
    <row r="71" spans="1:9" x14ac:dyDescent="0.25">
      <c r="A71" s="2">
        <v>46092</v>
      </c>
      <c r="B71">
        <f t="shared" si="8"/>
        <v>2026</v>
      </c>
      <c r="C71">
        <f t="shared" si="9"/>
        <v>3</v>
      </c>
      <c r="D71" t="str">
        <f t="shared" si="10"/>
        <v>March</v>
      </c>
      <c r="E71" t="str">
        <f t="shared" si="11"/>
        <v>Mar</v>
      </c>
      <c r="F71" t="str">
        <f t="shared" si="12"/>
        <v>Mar-2026</v>
      </c>
      <c r="G71" t="str">
        <f t="shared" si="13"/>
        <v>Q1</v>
      </c>
      <c r="H71" t="str">
        <f t="shared" si="14"/>
        <v>Wednesday</v>
      </c>
      <c r="I71" t="str">
        <f t="shared" si="15"/>
        <v>No</v>
      </c>
    </row>
    <row r="72" spans="1:9" x14ac:dyDescent="0.25">
      <c r="A72" s="2">
        <v>46093</v>
      </c>
      <c r="B72">
        <f t="shared" si="8"/>
        <v>2026</v>
      </c>
      <c r="C72">
        <f t="shared" si="9"/>
        <v>3</v>
      </c>
      <c r="D72" t="str">
        <f t="shared" si="10"/>
        <v>March</v>
      </c>
      <c r="E72" t="str">
        <f t="shared" si="11"/>
        <v>Mar</v>
      </c>
      <c r="F72" t="str">
        <f t="shared" si="12"/>
        <v>Mar-2026</v>
      </c>
      <c r="G72" t="str">
        <f t="shared" si="13"/>
        <v>Q1</v>
      </c>
      <c r="H72" t="str">
        <f t="shared" si="14"/>
        <v>Thursday</v>
      </c>
      <c r="I72" t="str">
        <f t="shared" si="15"/>
        <v>No</v>
      </c>
    </row>
    <row r="73" spans="1:9" x14ac:dyDescent="0.25">
      <c r="A73" s="2">
        <v>46094</v>
      </c>
      <c r="B73">
        <f t="shared" si="8"/>
        <v>2026</v>
      </c>
      <c r="C73">
        <f t="shared" si="9"/>
        <v>3</v>
      </c>
      <c r="D73" t="str">
        <f t="shared" si="10"/>
        <v>March</v>
      </c>
      <c r="E73" t="str">
        <f t="shared" si="11"/>
        <v>Mar</v>
      </c>
      <c r="F73" t="str">
        <f t="shared" si="12"/>
        <v>Mar-2026</v>
      </c>
      <c r="G73" t="str">
        <f t="shared" si="13"/>
        <v>Q1</v>
      </c>
      <c r="H73" t="str">
        <f t="shared" si="14"/>
        <v>Friday</v>
      </c>
      <c r="I73" t="str">
        <f t="shared" si="15"/>
        <v>No</v>
      </c>
    </row>
    <row r="74" spans="1:9" x14ac:dyDescent="0.25">
      <c r="A74" s="2">
        <v>46095</v>
      </c>
      <c r="B74">
        <f t="shared" si="8"/>
        <v>2026</v>
      </c>
      <c r="C74">
        <f t="shared" si="9"/>
        <v>3</v>
      </c>
      <c r="D74" t="str">
        <f t="shared" si="10"/>
        <v>March</v>
      </c>
      <c r="E74" t="str">
        <f t="shared" si="11"/>
        <v>Mar</v>
      </c>
      <c r="F74" t="str">
        <f t="shared" si="12"/>
        <v>Mar-2026</v>
      </c>
      <c r="G74" t="str">
        <f t="shared" si="13"/>
        <v>Q1</v>
      </c>
      <c r="H74" t="str">
        <f t="shared" si="14"/>
        <v>Saturday</v>
      </c>
      <c r="I74" t="str">
        <f t="shared" si="15"/>
        <v>Yes</v>
      </c>
    </row>
    <row r="75" spans="1:9" x14ac:dyDescent="0.25">
      <c r="A75" s="2">
        <v>46096</v>
      </c>
      <c r="B75">
        <f t="shared" si="8"/>
        <v>2026</v>
      </c>
      <c r="C75">
        <f t="shared" si="9"/>
        <v>3</v>
      </c>
      <c r="D75" t="str">
        <f t="shared" si="10"/>
        <v>March</v>
      </c>
      <c r="E75" t="str">
        <f t="shared" si="11"/>
        <v>Mar</v>
      </c>
      <c r="F75" t="str">
        <f t="shared" si="12"/>
        <v>Mar-2026</v>
      </c>
      <c r="G75" t="str">
        <f t="shared" si="13"/>
        <v>Q1</v>
      </c>
      <c r="H75" t="str">
        <f t="shared" si="14"/>
        <v>Sunday</v>
      </c>
      <c r="I75" t="str">
        <f t="shared" si="15"/>
        <v>Yes</v>
      </c>
    </row>
    <row r="76" spans="1:9" x14ac:dyDescent="0.25">
      <c r="A76" s="2">
        <v>46097</v>
      </c>
      <c r="B76">
        <f t="shared" si="8"/>
        <v>2026</v>
      </c>
      <c r="C76">
        <f t="shared" si="9"/>
        <v>3</v>
      </c>
      <c r="D76" t="str">
        <f t="shared" si="10"/>
        <v>March</v>
      </c>
      <c r="E76" t="str">
        <f t="shared" si="11"/>
        <v>Mar</v>
      </c>
      <c r="F76" t="str">
        <f t="shared" si="12"/>
        <v>Mar-2026</v>
      </c>
      <c r="G76" t="str">
        <f t="shared" si="13"/>
        <v>Q1</v>
      </c>
      <c r="H76" t="str">
        <f t="shared" si="14"/>
        <v>Monday</v>
      </c>
      <c r="I76" t="str">
        <f t="shared" si="15"/>
        <v>No</v>
      </c>
    </row>
    <row r="77" spans="1:9" x14ac:dyDescent="0.25">
      <c r="A77" s="2">
        <v>46098</v>
      </c>
      <c r="B77">
        <f t="shared" si="8"/>
        <v>2026</v>
      </c>
      <c r="C77">
        <f t="shared" si="9"/>
        <v>3</v>
      </c>
      <c r="D77" t="str">
        <f t="shared" si="10"/>
        <v>March</v>
      </c>
      <c r="E77" t="str">
        <f t="shared" si="11"/>
        <v>Mar</v>
      </c>
      <c r="F77" t="str">
        <f t="shared" si="12"/>
        <v>Mar-2026</v>
      </c>
      <c r="G77" t="str">
        <f t="shared" si="13"/>
        <v>Q1</v>
      </c>
      <c r="H77" t="str">
        <f t="shared" si="14"/>
        <v>Tuesday</v>
      </c>
      <c r="I77" t="str">
        <f t="shared" si="15"/>
        <v>No</v>
      </c>
    </row>
    <row r="78" spans="1:9" x14ac:dyDescent="0.25">
      <c r="A78" s="2">
        <v>46099</v>
      </c>
      <c r="B78">
        <f t="shared" si="8"/>
        <v>2026</v>
      </c>
      <c r="C78">
        <f t="shared" si="9"/>
        <v>3</v>
      </c>
      <c r="D78" t="str">
        <f t="shared" si="10"/>
        <v>March</v>
      </c>
      <c r="E78" t="str">
        <f t="shared" si="11"/>
        <v>Mar</v>
      </c>
      <c r="F78" t="str">
        <f t="shared" si="12"/>
        <v>Mar-2026</v>
      </c>
      <c r="G78" t="str">
        <f t="shared" si="13"/>
        <v>Q1</v>
      </c>
      <c r="H78" t="str">
        <f t="shared" si="14"/>
        <v>Wednesday</v>
      </c>
      <c r="I78" t="str">
        <f t="shared" si="15"/>
        <v>No</v>
      </c>
    </row>
    <row r="79" spans="1:9" x14ac:dyDescent="0.25">
      <c r="A79" s="2">
        <v>46100</v>
      </c>
      <c r="B79">
        <f t="shared" si="8"/>
        <v>2026</v>
      </c>
      <c r="C79">
        <f t="shared" si="9"/>
        <v>3</v>
      </c>
      <c r="D79" t="str">
        <f t="shared" si="10"/>
        <v>March</v>
      </c>
      <c r="E79" t="str">
        <f t="shared" si="11"/>
        <v>Mar</v>
      </c>
      <c r="F79" t="str">
        <f t="shared" si="12"/>
        <v>Mar-2026</v>
      </c>
      <c r="G79" t="str">
        <f t="shared" si="13"/>
        <v>Q1</v>
      </c>
      <c r="H79" t="str">
        <f t="shared" si="14"/>
        <v>Thursday</v>
      </c>
      <c r="I79" t="str">
        <f t="shared" si="15"/>
        <v>No</v>
      </c>
    </row>
    <row r="80" spans="1:9" x14ac:dyDescent="0.25">
      <c r="A80" s="2">
        <v>46101</v>
      </c>
      <c r="B80">
        <f t="shared" si="8"/>
        <v>2026</v>
      </c>
      <c r="C80">
        <f t="shared" si="9"/>
        <v>3</v>
      </c>
      <c r="D80" t="str">
        <f t="shared" si="10"/>
        <v>March</v>
      </c>
      <c r="E80" t="str">
        <f t="shared" si="11"/>
        <v>Mar</v>
      </c>
      <c r="F80" t="str">
        <f t="shared" si="12"/>
        <v>Mar-2026</v>
      </c>
      <c r="G80" t="str">
        <f t="shared" si="13"/>
        <v>Q1</v>
      </c>
      <c r="H80" t="str">
        <f t="shared" si="14"/>
        <v>Friday</v>
      </c>
      <c r="I80" t="str">
        <f t="shared" si="15"/>
        <v>No</v>
      </c>
    </row>
    <row r="81" spans="1:9" x14ac:dyDescent="0.25">
      <c r="A81" s="2">
        <v>46102</v>
      </c>
      <c r="B81">
        <f t="shared" si="8"/>
        <v>2026</v>
      </c>
      <c r="C81">
        <f t="shared" si="9"/>
        <v>3</v>
      </c>
      <c r="D81" t="str">
        <f t="shared" si="10"/>
        <v>March</v>
      </c>
      <c r="E81" t="str">
        <f t="shared" si="11"/>
        <v>Mar</v>
      </c>
      <c r="F81" t="str">
        <f t="shared" si="12"/>
        <v>Mar-2026</v>
      </c>
      <c r="G81" t="str">
        <f t="shared" si="13"/>
        <v>Q1</v>
      </c>
      <c r="H81" t="str">
        <f t="shared" si="14"/>
        <v>Saturday</v>
      </c>
      <c r="I81" t="str">
        <f t="shared" si="15"/>
        <v>Yes</v>
      </c>
    </row>
    <row r="82" spans="1:9" x14ac:dyDescent="0.25">
      <c r="A82" s="2">
        <v>46103</v>
      </c>
      <c r="B82">
        <f t="shared" si="8"/>
        <v>2026</v>
      </c>
      <c r="C82">
        <f t="shared" si="9"/>
        <v>3</v>
      </c>
      <c r="D82" t="str">
        <f t="shared" si="10"/>
        <v>March</v>
      </c>
      <c r="E82" t="str">
        <f t="shared" si="11"/>
        <v>Mar</v>
      </c>
      <c r="F82" t="str">
        <f t="shared" si="12"/>
        <v>Mar-2026</v>
      </c>
      <c r="G82" t="str">
        <f t="shared" si="13"/>
        <v>Q1</v>
      </c>
      <c r="H82" t="str">
        <f t="shared" si="14"/>
        <v>Sunday</v>
      </c>
      <c r="I82" t="str">
        <f t="shared" si="15"/>
        <v>Yes</v>
      </c>
    </row>
    <row r="83" spans="1:9" x14ac:dyDescent="0.25">
      <c r="A83" s="2">
        <v>46104</v>
      </c>
      <c r="B83">
        <f t="shared" si="8"/>
        <v>2026</v>
      </c>
      <c r="C83">
        <f t="shared" si="9"/>
        <v>3</v>
      </c>
      <c r="D83" t="str">
        <f t="shared" si="10"/>
        <v>March</v>
      </c>
      <c r="E83" t="str">
        <f t="shared" si="11"/>
        <v>Mar</v>
      </c>
      <c r="F83" t="str">
        <f t="shared" si="12"/>
        <v>Mar-2026</v>
      </c>
      <c r="G83" t="str">
        <f t="shared" si="13"/>
        <v>Q1</v>
      </c>
      <c r="H83" t="str">
        <f t="shared" si="14"/>
        <v>Monday</v>
      </c>
      <c r="I83" t="str">
        <f t="shared" si="15"/>
        <v>No</v>
      </c>
    </row>
    <row r="84" spans="1:9" x14ac:dyDescent="0.25">
      <c r="A84" s="2">
        <v>46105</v>
      </c>
      <c r="B84">
        <f t="shared" si="8"/>
        <v>2026</v>
      </c>
      <c r="C84">
        <f t="shared" si="9"/>
        <v>3</v>
      </c>
      <c r="D84" t="str">
        <f t="shared" si="10"/>
        <v>March</v>
      </c>
      <c r="E84" t="str">
        <f t="shared" si="11"/>
        <v>Mar</v>
      </c>
      <c r="F84" t="str">
        <f t="shared" si="12"/>
        <v>Mar-2026</v>
      </c>
      <c r="G84" t="str">
        <f t="shared" si="13"/>
        <v>Q1</v>
      </c>
      <c r="H84" t="str">
        <f t="shared" si="14"/>
        <v>Tuesday</v>
      </c>
      <c r="I84" t="str">
        <f t="shared" si="15"/>
        <v>No</v>
      </c>
    </row>
    <row r="85" spans="1:9" x14ac:dyDescent="0.25">
      <c r="A85" s="2">
        <v>46106</v>
      </c>
      <c r="B85">
        <f t="shared" si="8"/>
        <v>2026</v>
      </c>
      <c r="C85">
        <f t="shared" si="9"/>
        <v>3</v>
      </c>
      <c r="D85" t="str">
        <f t="shared" si="10"/>
        <v>March</v>
      </c>
      <c r="E85" t="str">
        <f t="shared" si="11"/>
        <v>Mar</v>
      </c>
      <c r="F85" t="str">
        <f t="shared" si="12"/>
        <v>Mar-2026</v>
      </c>
      <c r="G85" t="str">
        <f t="shared" si="13"/>
        <v>Q1</v>
      </c>
      <c r="H85" t="str">
        <f t="shared" si="14"/>
        <v>Wednesday</v>
      </c>
      <c r="I85" t="str">
        <f t="shared" si="15"/>
        <v>No</v>
      </c>
    </row>
    <row r="86" spans="1:9" x14ac:dyDescent="0.25">
      <c r="A86" s="2">
        <v>46107</v>
      </c>
      <c r="B86">
        <f t="shared" si="8"/>
        <v>2026</v>
      </c>
      <c r="C86">
        <f t="shared" si="9"/>
        <v>3</v>
      </c>
      <c r="D86" t="str">
        <f t="shared" si="10"/>
        <v>March</v>
      </c>
      <c r="E86" t="str">
        <f t="shared" si="11"/>
        <v>Mar</v>
      </c>
      <c r="F86" t="str">
        <f t="shared" si="12"/>
        <v>Mar-2026</v>
      </c>
      <c r="G86" t="str">
        <f t="shared" si="13"/>
        <v>Q1</v>
      </c>
      <c r="H86" t="str">
        <f t="shared" si="14"/>
        <v>Thursday</v>
      </c>
      <c r="I86" t="str">
        <f t="shared" si="15"/>
        <v>No</v>
      </c>
    </row>
    <row r="87" spans="1:9" x14ac:dyDescent="0.25">
      <c r="A87" s="2">
        <v>46108</v>
      </c>
      <c r="B87">
        <f t="shared" si="8"/>
        <v>2026</v>
      </c>
      <c r="C87">
        <f t="shared" si="9"/>
        <v>3</v>
      </c>
      <c r="D87" t="str">
        <f t="shared" si="10"/>
        <v>March</v>
      </c>
      <c r="E87" t="str">
        <f t="shared" si="11"/>
        <v>Mar</v>
      </c>
      <c r="F87" t="str">
        <f t="shared" si="12"/>
        <v>Mar-2026</v>
      </c>
      <c r="G87" t="str">
        <f t="shared" si="13"/>
        <v>Q1</v>
      </c>
      <c r="H87" t="str">
        <f t="shared" si="14"/>
        <v>Friday</v>
      </c>
      <c r="I87" t="str">
        <f t="shared" si="15"/>
        <v>No</v>
      </c>
    </row>
    <row r="88" spans="1:9" x14ac:dyDescent="0.25">
      <c r="A88" s="2">
        <v>46109</v>
      </c>
      <c r="B88">
        <f t="shared" si="8"/>
        <v>2026</v>
      </c>
      <c r="C88">
        <f t="shared" si="9"/>
        <v>3</v>
      </c>
      <c r="D88" t="str">
        <f t="shared" si="10"/>
        <v>March</v>
      </c>
      <c r="E88" t="str">
        <f t="shared" si="11"/>
        <v>Mar</v>
      </c>
      <c r="F88" t="str">
        <f t="shared" si="12"/>
        <v>Mar-2026</v>
      </c>
      <c r="G88" t="str">
        <f t="shared" si="13"/>
        <v>Q1</v>
      </c>
      <c r="H88" t="str">
        <f t="shared" si="14"/>
        <v>Saturday</v>
      </c>
      <c r="I88" t="str">
        <f t="shared" si="15"/>
        <v>Yes</v>
      </c>
    </row>
    <row r="89" spans="1:9" x14ac:dyDescent="0.25">
      <c r="A89" s="2">
        <v>46110</v>
      </c>
      <c r="B89">
        <f t="shared" si="8"/>
        <v>2026</v>
      </c>
      <c r="C89">
        <f t="shared" si="9"/>
        <v>3</v>
      </c>
      <c r="D89" t="str">
        <f t="shared" si="10"/>
        <v>March</v>
      </c>
      <c r="E89" t="str">
        <f t="shared" si="11"/>
        <v>Mar</v>
      </c>
      <c r="F89" t="str">
        <f t="shared" si="12"/>
        <v>Mar-2026</v>
      </c>
      <c r="G89" t="str">
        <f t="shared" si="13"/>
        <v>Q1</v>
      </c>
      <c r="H89" t="str">
        <f t="shared" si="14"/>
        <v>Sunday</v>
      </c>
      <c r="I89" t="str">
        <f t="shared" si="15"/>
        <v>Yes</v>
      </c>
    </row>
    <row r="90" spans="1:9" x14ac:dyDescent="0.25">
      <c r="A90" s="2">
        <v>46111</v>
      </c>
      <c r="B90">
        <f t="shared" si="8"/>
        <v>2026</v>
      </c>
      <c r="C90">
        <f t="shared" si="9"/>
        <v>3</v>
      </c>
      <c r="D90" t="str">
        <f t="shared" si="10"/>
        <v>March</v>
      </c>
      <c r="E90" t="str">
        <f t="shared" si="11"/>
        <v>Mar</v>
      </c>
      <c r="F90" t="str">
        <f t="shared" si="12"/>
        <v>Mar-2026</v>
      </c>
      <c r="G90" t="str">
        <f t="shared" si="13"/>
        <v>Q1</v>
      </c>
      <c r="H90" t="str">
        <f t="shared" si="14"/>
        <v>Monday</v>
      </c>
      <c r="I90" t="str">
        <f t="shared" si="15"/>
        <v>No</v>
      </c>
    </row>
    <row r="91" spans="1:9" x14ac:dyDescent="0.25">
      <c r="A91" s="2">
        <v>46112</v>
      </c>
      <c r="B91">
        <f t="shared" si="8"/>
        <v>2026</v>
      </c>
      <c r="C91">
        <f t="shared" si="9"/>
        <v>3</v>
      </c>
      <c r="D91" t="str">
        <f t="shared" si="10"/>
        <v>March</v>
      </c>
      <c r="E91" t="str">
        <f t="shared" si="11"/>
        <v>Mar</v>
      </c>
      <c r="F91" t="str">
        <f t="shared" si="12"/>
        <v>Mar-2026</v>
      </c>
      <c r="G91" t="str">
        <f t="shared" si="13"/>
        <v>Q1</v>
      </c>
      <c r="H91" t="str">
        <f t="shared" si="14"/>
        <v>Tuesday</v>
      </c>
      <c r="I91" t="str">
        <f t="shared" si="15"/>
        <v>No</v>
      </c>
    </row>
    <row r="92" spans="1:9" x14ac:dyDescent="0.25">
      <c r="A92" s="2">
        <v>46113</v>
      </c>
      <c r="B92">
        <f t="shared" si="8"/>
        <v>2026</v>
      </c>
      <c r="C92">
        <f t="shared" si="9"/>
        <v>4</v>
      </c>
      <c r="D92" t="str">
        <f t="shared" si="10"/>
        <v>April</v>
      </c>
      <c r="E92" t="str">
        <f t="shared" si="11"/>
        <v>Apr</v>
      </c>
      <c r="F92" t="str">
        <f t="shared" si="12"/>
        <v>Apr-2026</v>
      </c>
      <c r="G92" t="str">
        <f t="shared" si="13"/>
        <v>Q2</v>
      </c>
      <c r="H92" t="str">
        <f t="shared" si="14"/>
        <v>Wednesday</v>
      </c>
      <c r="I92" t="str">
        <f t="shared" si="15"/>
        <v>No</v>
      </c>
    </row>
    <row r="93" spans="1:9" x14ac:dyDescent="0.25">
      <c r="A93" s="2">
        <v>46114</v>
      </c>
      <c r="B93">
        <f t="shared" si="8"/>
        <v>2026</v>
      </c>
      <c r="C93">
        <f t="shared" si="9"/>
        <v>4</v>
      </c>
      <c r="D93" t="str">
        <f t="shared" si="10"/>
        <v>April</v>
      </c>
      <c r="E93" t="str">
        <f t="shared" si="11"/>
        <v>Apr</v>
      </c>
      <c r="F93" t="str">
        <f t="shared" si="12"/>
        <v>Apr-2026</v>
      </c>
      <c r="G93" t="str">
        <f t="shared" si="13"/>
        <v>Q2</v>
      </c>
      <c r="H93" t="str">
        <f t="shared" si="14"/>
        <v>Thursday</v>
      </c>
      <c r="I93" t="str">
        <f t="shared" si="15"/>
        <v>No</v>
      </c>
    </row>
    <row r="94" spans="1:9" x14ac:dyDescent="0.25">
      <c r="A94" s="2">
        <v>46115</v>
      </c>
      <c r="B94">
        <f t="shared" si="8"/>
        <v>2026</v>
      </c>
      <c r="C94">
        <f t="shared" si="9"/>
        <v>4</v>
      </c>
      <c r="D94" t="str">
        <f t="shared" si="10"/>
        <v>April</v>
      </c>
      <c r="E94" t="str">
        <f t="shared" si="11"/>
        <v>Apr</v>
      </c>
      <c r="F94" t="str">
        <f t="shared" si="12"/>
        <v>Apr-2026</v>
      </c>
      <c r="G94" t="str">
        <f t="shared" si="13"/>
        <v>Q2</v>
      </c>
      <c r="H94" t="str">
        <f t="shared" si="14"/>
        <v>Friday</v>
      </c>
      <c r="I94" t="str">
        <f t="shared" si="15"/>
        <v>No</v>
      </c>
    </row>
    <row r="95" spans="1:9" x14ac:dyDescent="0.25">
      <c r="A95" s="2">
        <v>46116</v>
      </c>
      <c r="B95">
        <f t="shared" si="8"/>
        <v>2026</v>
      </c>
      <c r="C95">
        <f t="shared" si="9"/>
        <v>4</v>
      </c>
      <c r="D95" t="str">
        <f t="shared" si="10"/>
        <v>April</v>
      </c>
      <c r="E95" t="str">
        <f t="shared" si="11"/>
        <v>Apr</v>
      </c>
      <c r="F95" t="str">
        <f t="shared" si="12"/>
        <v>Apr-2026</v>
      </c>
      <c r="G95" t="str">
        <f t="shared" si="13"/>
        <v>Q2</v>
      </c>
      <c r="H95" t="str">
        <f t="shared" si="14"/>
        <v>Saturday</v>
      </c>
      <c r="I95" t="str">
        <f t="shared" si="15"/>
        <v>Yes</v>
      </c>
    </row>
    <row r="96" spans="1:9" x14ac:dyDescent="0.25">
      <c r="A96" s="2">
        <v>46117</v>
      </c>
      <c r="B96">
        <f t="shared" si="8"/>
        <v>2026</v>
      </c>
      <c r="C96">
        <f t="shared" si="9"/>
        <v>4</v>
      </c>
      <c r="D96" t="str">
        <f t="shared" si="10"/>
        <v>April</v>
      </c>
      <c r="E96" t="str">
        <f t="shared" si="11"/>
        <v>Apr</v>
      </c>
      <c r="F96" t="str">
        <f t="shared" si="12"/>
        <v>Apr-2026</v>
      </c>
      <c r="G96" t="str">
        <f t="shared" si="13"/>
        <v>Q2</v>
      </c>
      <c r="H96" t="str">
        <f t="shared" si="14"/>
        <v>Sunday</v>
      </c>
      <c r="I96" t="str">
        <f t="shared" si="15"/>
        <v>Yes</v>
      </c>
    </row>
    <row r="97" spans="1:9" x14ac:dyDescent="0.25">
      <c r="A97" s="2">
        <v>46118</v>
      </c>
      <c r="B97">
        <f t="shared" si="8"/>
        <v>2026</v>
      </c>
      <c r="C97">
        <f t="shared" si="9"/>
        <v>4</v>
      </c>
      <c r="D97" t="str">
        <f t="shared" si="10"/>
        <v>April</v>
      </c>
      <c r="E97" t="str">
        <f t="shared" si="11"/>
        <v>Apr</v>
      </c>
      <c r="F97" t="str">
        <f t="shared" si="12"/>
        <v>Apr-2026</v>
      </c>
      <c r="G97" t="str">
        <f t="shared" si="13"/>
        <v>Q2</v>
      </c>
      <c r="H97" t="str">
        <f t="shared" si="14"/>
        <v>Monday</v>
      </c>
      <c r="I97" t="str">
        <f t="shared" si="15"/>
        <v>No</v>
      </c>
    </row>
    <row r="98" spans="1:9" x14ac:dyDescent="0.25">
      <c r="A98" s="2">
        <v>46119</v>
      </c>
      <c r="B98">
        <f t="shared" si="8"/>
        <v>2026</v>
      </c>
      <c r="C98">
        <f t="shared" si="9"/>
        <v>4</v>
      </c>
      <c r="D98" t="str">
        <f t="shared" si="10"/>
        <v>April</v>
      </c>
      <c r="E98" t="str">
        <f t="shared" si="11"/>
        <v>Apr</v>
      </c>
      <c r="F98" t="str">
        <f t="shared" si="12"/>
        <v>Apr-2026</v>
      </c>
      <c r="G98" t="str">
        <f t="shared" si="13"/>
        <v>Q2</v>
      </c>
      <c r="H98" t="str">
        <f t="shared" si="14"/>
        <v>Tuesday</v>
      </c>
      <c r="I98" t="str">
        <f t="shared" si="15"/>
        <v>No</v>
      </c>
    </row>
    <row r="99" spans="1:9" x14ac:dyDescent="0.25">
      <c r="A99" s="2">
        <v>46120</v>
      </c>
      <c r="B99">
        <f t="shared" si="8"/>
        <v>2026</v>
      </c>
      <c r="C99">
        <f t="shared" si="9"/>
        <v>4</v>
      </c>
      <c r="D99" t="str">
        <f t="shared" si="10"/>
        <v>April</v>
      </c>
      <c r="E99" t="str">
        <f t="shared" si="11"/>
        <v>Apr</v>
      </c>
      <c r="F99" t="str">
        <f t="shared" si="12"/>
        <v>Apr-2026</v>
      </c>
      <c r="G99" t="str">
        <f t="shared" si="13"/>
        <v>Q2</v>
      </c>
      <c r="H99" t="str">
        <f t="shared" si="14"/>
        <v>Wednesday</v>
      </c>
      <c r="I99" t="str">
        <f t="shared" si="15"/>
        <v>No</v>
      </c>
    </row>
    <row r="100" spans="1:9" x14ac:dyDescent="0.25">
      <c r="A100" s="2">
        <v>46121</v>
      </c>
      <c r="B100">
        <f t="shared" si="8"/>
        <v>2026</v>
      </c>
      <c r="C100">
        <f t="shared" si="9"/>
        <v>4</v>
      </c>
      <c r="D100" t="str">
        <f t="shared" si="10"/>
        <v>April</v>
      </c>
      <c r="E100" t="str">
        <f t="shared" si="11"/>
        <v>Apr</v>
      </c>
      <c r="F100" t="str">
        <f t="shared" si="12"/>
        <v>Apr-2026</v>
      </c>
      <c r="G100" t="str">
        <f t="shared" si="13"/>
        <v>Q2</v>
      </c>
      <c r="H100" t="str">
        <f t="shared" si="14"/>
        <v>Thursday</v>
      </c>
      <c r="I100" t="str">
        <f t="shared" si="15"/>
        <v>No</v>
      </c>
    </row>
    <row r="101" spans="1:9" x14ac:dyDescent="0.25">
      <c r="A101" s="2">
        <v>46122</v>
      </c>
      <c r="B101">
        <f t="shared" si="8"/>
        <v>2026</v>
      </c>
      <c r="C101">
        <f t="shared" si="9"/>
        <v>4</v>
      </c>
      <c r="D101" t="str">
        <f t="shared" si="10"/>
        <v>April</v>
      </c>
      <c r="E101" t="str">
        <f t="shared" si="11"/>
        <v>Apr</v>
      </c>
      <c r="F101" t="str">
        <f t="shared" si="12"/>
        <v>Apr-2026</v>
      </c>
      <c r="G101" t="str">
        <f t="shared" si="13"/>
        <v>Q2</v>
      </c>
      <c r="H101" t="str">
        <f t="shared" si="14"/>
        <v>Friday</v>
      </c>
      <c r="I101" t="str">
        <f t="shared" si="15"/>
        <v>No</v>
      </c>
    </row>
    <row r="102" spans="1:9" x14ac:dyDescent="0.25">
      <c r="A102" s="2">
        <v>46123</v>
      </c>
      <c r="B102">
        <f t="shared" si="8"/>
        <v>2026</v>
      </c>
      <c r="C102">
        <f t="shared" si="9"/>
        <v>4</v>
      </c>
      <c r="D102" t="str">
        <f t="shared" si="10"/>
        <v>April</v>
      </c>
      <c r="E102" t="str">
        <f t="shared" si="11"/>
        <v>Apr</v>
      </c>
      <c r="F102" t="str">
        <f t="shared" si="12"/>
        <v>Apr-2026</v>
      </c>
      <c r="G102" t="str">
        <f t="shared" si="13"/>
        <v>Q2</v>
      </c>
      <c r="H102" t="str">
        <f t="shared" si="14"/>
        <v>Saturday</v>
      </c>
      <c r="I102" t="str">
        <f t="shared" si="15"/>
        <v>Yes</v>
      </c>
    </row>
    <row r="103" spans="1:9" x14ac:dyDescent="0.25">
      <c r="A103" s="2">
        <v>46124</v>
      </c>
      <c r="B103">
        <f t="shared" si="8"/>
        <v>2026</v>
      </c>
      <c r="C103">
        <f t="shared" si="9"/>
        <v>4</v>
      </c>
      <c r="D103" t="str">
        <f t="shared" si="10"/>
        <v>April</v>
      </c>
      <c r="E103" t="str">
        <f t="shared" si="11"/>
        <v>Apr</v>
      </c>
      <c r="F103" t="str">
        <f t="shared" si="12"/>
        <v>Apr-2026</v>
      </c>
      <c r="G103" t="str">
        <f t="shared" si="13"/>
        <v>Q2</v>
      </c>
      <c r="H103" t="str">
        <f t="shared" si="14"/>
        <v>Sunday</v>
      </c>
      <c r="I103" t="str">
        <f t="shared" si="15"/>
        <v>Yes</v>
      </c>
    </row>
    <row r="104" spans="1:9" x14ac:dyDescent="0.25">
      <c r="A104" s="2">
        <v>46125</v>
      </c>
      <c r="B104">
        <f t="shared" si="8"/>
        <v>2026</v>
      </c>
      <c r="C104">
        <f t="shared" si="9"/>
        <v>4</v>
      </c>
      <c r="D104" t="str">
        <f t="shared" si="10"/>
        <v>April</v>
      </c>
      <c r="E104" t="str">
        <f t="shared" si="11"/>
        <v>Apr</v>
      </c>
      <c r="F104" t="str">
        <f t="shared" si="12"/>
        <v>Apr-2026</v>
      </c>
      <c r="G104" t="str">
        <f t="shared" si="13"/>
        <v>Q2</v>
      </c>
      <c r="H104" t="str">
        <f t="shared" si="14"/>
        <v>Monday</v>
      </c>
      <c r="I104" t="str">
        <f t="shared" si="15"/>
        <v>No</v>
      </c>
    </row>
    <row r="105" spans="1:9" x14ac:dyDescent="0.25">
      <c r="A105" s="2">
        <v>46126</v>
      </c>
      <c r="B105">
        <f t="shared" si="8"/>
        <v>2026</v>
      </c>
      <c r="C105">
        <f t="shared" si="9"/>
        <v>4</v>
      </c>
      <c r="D105" t="str">
        <f t="shared" si="10"/>
        <v>April</v>
      </c>
      <c r="E105" t="str">
        <f t="shared" si="11"/>
        <v>Apr</v>
      </c>
      <c r="F105" t="str">
        <f t="shared" si="12"/>
        <v>Apr-2026</v>
      </c>
      <c r="G105" t="str">
        <f t="shared" si="13"/>
        <v>Q2</v>
      </c>
      <c r="H105" t="str">
        <f t="shared" si="14"/>
        <v>Tuesday</v>
      </c>
      <c r="I105" t="str">
        <f t="shared" si="15"/>
        <v>No</v>
      </c>
    </row>
    <row r="106" spans="1:9" x14ac:dyDescent="0.25">
      <c r="A106" s="2">
        <v>46127</v>
      </c>
      <c r="B106">
        <f t="shared" si="8"/>
        <v>2026</v>
      </c>
      <c r="C106">
        <f t="shared" si="9"/>
        <v>4</v>
      </c>
      <c r="D106" t="str">
        <f t="shared" si="10"/>
        <v>April</v>
      </c>
      <c r="E106" t="str">
        <f t="shared" si="11"/>
        <v>Apr</v>
      </c>
      <c r="F106" t="str">
        <f t="shared" si="12"/>
        <v>Apr-2026</v>
      </c>
      <c r="G106" t="str">
        <f t="shared" si="13"/>
        <v>Q2</v>
      </c>
      <c r="H106" t="str">
        <f t="shared" si="14"/>
        <v>Wednesday</v>
      </c>
      <c r="I106" t="str">
        <f t="shared" si="15"/>
        <v>No</v>
      </c>
    </row>
    <row r="107" spans="1:9" x14ac:dyDescent="0.25">
      <c r="A107" s="2">
        <v>46128</v>
      </c>
      <c r="B107">
        <f t="shared" si="8"/>
        <v>2026</v>
      </c>
      <c r="C107">
        <f t="shared" si="9"/>
        <v>4</v>
      </c>
      <c r="D107" t="str">
        <f t="shared" si="10"/>
        <v>April</v>
      </c>
      <c r="E107" t="str">
        <f t="shared" si="11"/>
        <v>Apr</v>
      </c>
      <c r="F107" t="str">
        <f t="shared" si="12"/>
        <v>Apr-2026</v>
      </c>
      <c r="G107" t="str">
        <f t="shared" si="13"/>
        <v>Q2</v>
      </c>
      <c r="H107" t="str">
        <f t="shared" si="14"/>
        <v>Thursday</v>
      </c>
      <c r="I107" t="str">
        <f t="shared" si="15"/>
        <v>No</v>
      </c>
    </row>
    <row r="108" spans="1:9" x14ac:dyDescent="0.25">
      <c r="A108" s="2">
        <v>46129</v>
      </c>
      <c r="B108">
        <f t="shared" si="8"/>
        <v>2026</v>
      </c>
      <c r="C108">
        <f t="shared" si="9"/>
        <v>4</v>
      </c>
      <c r="D108" t="str">
        <f t="shared" si="10"/>
        <v>April</v>
      </c>
      <c r="E108" t="str">
        <f t="shared" si="11"/>
        <v>Apr</v>
      </c>
      <c r="F108" t="str">
        <f t="shared" si="12"/>
        <v>Apr-2026</v>
      </c>
      <c r="G108" t="str">
        <f t="shared" si="13"/>
        <v>Q2</v>
      </c>
      <c r="H108" t="str">
        <f t="shared" si="14"/>
        <v>Friday</v>
      </c>
      <c r="I108" t="str">
        <f t="shared" si="15"/>
        <v>No</v>
      </c>
    </row>
    <row r="109" spans="1:9" x14ac:dyDescent="0.25">
      <c r="A109" s="2">
        <v>46130</v>
      </c>
      <c r="B109">
        <f t="shared" si="8"/>
        <v>2026</v>
      </c>
      <c r="C109">
        <f t="shared" si="9"/>
        <v>4</v>
      </c>
      <c r="D109" t="str">
        <f t="shared" si="10"/>
        <v>April</v>
      </c>
      <c r="E109" t="str">
        <f t="shared" si="11"/>
        <v>Apr</v>
      </c>
      <c r="F109" t="str">
        <f t="shared" si="12"/>
        <v>Apr-2026</v>
      </c>
      <c r="G109" t="str">
        <f t="shared" si="13"/>
        <v>Q2</v>
      </c>
      <c r="H109" t="str">
        <f t="shared" si="14"/>
        <v>Saturday</v>
      </c>
      <c r="I109" t="str">
        <f t="shared" si="15"/>
        <v>Yes</v>
      </c>
    </row>
    <row r="110" spans="1:9" x14ac:dyDescent="0.25">
      <c r="A110" s="2">
        <v>46131</v>
      </c>
      <c r="B110">
        <f t="shared" si="8"/>
        <v>2026</v>
      </c>
      <c r="C110">
        <f t="shared" si="9"/>
        <v>4</v>
      </c>
      <c r="D110" t="str">
        <f t="shared" si="10"/>
        <v>April</v>
      </c>
      <c r="E110" t="str">
        <f t="shared" si="11"/>
        <v>Apr</v>
      </c>
      <c r="F110" t="str">
        <f t="shared" si="12"/>
        <v>Apr-2026</v>
      </c>
      <c r="G110" t="str">
        <f t="shared" si="13"/>
        <v>Q2</v>
      </c>
      <c r="H110" t="str">
        <f t="shared" si="14"/>
        <v>Sunday</v>
      </c>
      <c r="I110" t="str">
        <f t="shared" si="15"/>
        <v>Yes</v>
      </c>
    </row>
    <row r="111" spans="1:9" x14ac:dyDescent="0.25">
      <c r="A111" s="2">
        <v>46132</v>
      </c>
      <c r="B111">
        <f t="shared" si="8"/>
        <v>2026</v>
      </c>
      <c r="C111">
        <f t="shared" si="9"/>
        <v>4</v>
      </c>
      <c r="D111" t="str">
        <f t="shared" si="10"/>
        <v>April</v>
      </c>
      <c r="E111" t="str">
        <f t="shared" si="11"/>
        <v>Apr</v>
      </c>
      <c r="F111" t="str">
        <f t="shared" si="12"/>
        <v>Apr-2026</v>
      </c>
      <c r="G111" t="str">
        <f t="shared" si="13"/>
        <v>Q2</v>
      </c>
      <c r="H111" t="str">
        <f t="shared" si="14"/>
        <v>Monday</v>
      </c>
      <c r="I111" t="str">
        <f t="shared" si="15"/>
        <v>No</v>
      </c>
    </row>
    <row r="112" spans="1:9" x14ac:dyDescent="0.25">
      <c r="A112" s="2">
        <v>46133</v>
      </c>
      <c r="B112">
        <f t="shared" si="8"/>
        <v>2026</v>
      </c>
      <c r="C112">
        <f t="shared" si="9"/>
        <v>4</v>
      </c>
      <c r="D112" t="str">
        <f t="shared" si="10"/>
        <v>April</v>
      </c>
      <c r="E112" t="str">
        <f t="shared" si="11"/>
        <v>Apr</v>
      </c>
      <c r="F112" t="str">
        <f t="shared" si="12"/>
        <v>Apr-2026</v>
      </c>
      <c r="G112" t="str">
        <f t="shared" si="13"/>
        <v>Q2</v>
      </c>
      <c r="H112" t="str">
        <f t="shared" si="14"/>
        <v>Tuesday</v>
      </c>
      <c r="I112" t="str">
        <f t="shared" si="15"/>
        <v>No</v>
      </c>
    </row>
    <row r="113" spans="1:9" x14ac:dyDescent="0.25">
      <c r="A113" s="2">
        <v>46134</v>
      </c>
      <c r="B113">
        <f t="shared" si="8"/>
        <v>2026</v>
      </c>
      <c r="C113">
        <f t="shared" si="9"/>
        <v>4</v>
      </c>
      <c r="D113" t="str">
        <f t="shared" si="10"/>
        <v>April</v>
      </c>
      <c r="E113" t="str">
        <f t="shared" si="11"/>
        <v>Apr</v>
      </c>
      <c r="F113" t="str">
        <f t="shared" si="12"/>
        <v>Apr-2026</v>
      </c>
      <c r="G113" t="str">
        <f t="shared" si="13"/>
        <v>Q2</v>
      </c>
      <c r="H113" t="str">
        <f t="shared" si="14"/>
        <v>Wednesday</v>
      </c>
      <c r="I113" t="str">
        <f t="shared" si="15"/>
        <v>No</v>
      </c>
    </row>
    <row r="114" spans="1:9" x14ac:dyDescent="0.25">
      <c r="A114" s="2">
        <v>46135</v>
      </c>
      <c r="B114">
        <f t="shared" si="8"/>
        <v>2026</v>
      </c>
      <c r="C114">
        <f t="shared" si="9"/>
        <v>4</v>
      </c>
      <c r="D114" t="str">
        <f t="shared" si="10"/>
        <v>April</v>
      </c>
      <c r="E114" t="str">
        <f t="shared" si="11"/>
        <v>Apr</v>
      </c>
      <c r="F114" t="str">
        <f t="shared" si="12"/>
        <v>Apr-2026</v>
      </c>
      <c r="G114" t="str">
        <f t="shared" si="13"/>
        <v>Q2</v>
      </c>
      <c r="H114" t="str">
        <f t="shared" si="14"/>
        <v>Thursday</v>
      </c>
      <c r="I114" t="str">
        <f t="shared" si="15"/>
        <v>No</v>
      </c>
    </row>
    <row r="115" spans="1:9" x14ac:dyDescent="0.25">
      <c r="A115" s="2">
        <v>46136</v>
      </c>
      <c r="B115">
        <f t="shared" si="8"/>
        <v>2026</v>
      </c>
      <c r="C115">
        <f t="shared" si="9"/>
        <v>4</v>
      </c>
      <c r="D115" t="str">
        <f t="shared" si="10"/>
        <v>April</v>
      </c>
      <c r="E115" t="str">
        <f t="shared" si="11"/>
        <v>Apr</v>
      </c>
      <c r="F115" t="str">
        <f t="shared" si="12"/>
        <v>Apr-2026</v>
      </c>
      <c r="G115" t="str">
        <f t="shared" si="13"/>
        <v>Q2</v>
      </c>
      <c r="H115" t="str">
        <f t="shared" si="14"/>
        <v>Friday</v>
      </c>
      <c r="I115" t="str">
        <f t="shared" si="15"/>
        <v>No</v>
      </c>
    </row>
    <row r="116" spans="1:9" x14ac:dyDescent="0.25">
      <c r="A116" s="2">
        <v>46137</v>
      </c>
      <c r="B116">
        <f t="shared" si="8"/>
        <v>2026</v>
      </c>
      <c r="C116">
        <f t="shared" si="9"/>
        <v>4</v>
      </c>
      <c r="D116" t="str">
        <f t="shared" si="10"/>
        <v>April</v>
      </c>
      <c r="E116" t="str">
        <f t="shared" si="11"/>
        <v>Apr</v>
      </c>
      <c r="F116" t="str">
        <f t="shared" si="12"/>
        <v>Apr-2026</v>
      </c>
      <c r="G116" t="str">
        <f t="shared" si="13"/>
        <v>Q2</v>
      </c>
      <c r="H116" t="str">
        <f t="shared" si="14"/>
        <v>Saturday</v>
      </c>
      <c r="I116" t="str">
        <f t="shared" si="15"/>
        <v>Yes</v>
      </c>
    </row>
    <row r="117" spans="1:9" x14ac:dyDescent="0.25">
      <c r="A117" s="2">
        <v>46138</v>
      </c>
      <c r="B117">
        <f t="shared" si="8"/>
        <v>2026</v>
      </c>
      <c r="C117">
        <f t="shared" si="9"/>
        <v>4</v>
      </c>
      <c r="D117" t="str">
        <f t="shared" si="10"/>
        <v>April</v>
      </c>
      <c r="E117" t="str">
        <f t="shared" si="11"/>
        <v>Apr</v>
      </c>
      <c r="F117" t="str">
        <f t="shared" si="12"/>
        <v>Apr-2026</v>
      </c>
      <c r="G117" t="str">
        <f t="shared" si="13"/>
        <v>Q2</v>
      </c>
      <c r="H117" t="str">
        <f t="shared" si="14"/>
        <v>Sunday</v>
      </c>
      <c r="I117" t="str">
        <f t="shared" si="15"/>
        <v>Yes</v>
      </c>
    </row>
    <row r="118" spans="1:9" x14ac:dyDescent="0.25">
      <c r="A118" s="2">
        <v>46139</v>
      </c>
      <c r="B118">
        <f t="shared" si="8"/>
        <v>2026</v>
      </c>
      <c r="C118">
        <f t="shared" si="9"/>
        <v>4</v>
      </c>
      <c r="D118" t="str">
        <f t="shared" si="10"/>
        <v>April</v>
      </c>
      <c r="E118" t="str">
        <f t="shared" si="11"/>
        <v>Apr</v>
      </c>
      <c r="F118" t="str">
        <f t="shared" si="12"/>
        <v>Apr-2026</v>
      </c>
      <c r="G118" t="str">
        <f t="shared" si="13"/>
        <v>Q2</v>
      </c>
      <c r="H118" t="str">
        <f t="shared" si="14"/>
        <v>Monday</v>
      </c>
      <c r="I118" t="str">
        <f t="shared" si="15"/>
        <v>No</v>
      </c>
    </row>
    <row r="119" spans="1:9" x14ac:dyDescent="0.25">
      <c r="A119" s="2">
        <v>46140</v>
      </c>
      <c r="B119">
        <f t="shared" si="8"/>
        <v>2026</v>
      </c>
      <c r="C119">
        <f t="shared" si="9"/>
        <v>4</v>
      </c>
      <c r="D119" t="str">
        <f t="shared" si="10"/>
        <v>April</v>
      </c>
      <c r="E119" t="str">
        <f t="shared" si="11"/>
        <v>Apr</v>
      </c>
      <c r="F119" t="str">
        <f t="shared" si="12"/>
        <v>Apr-2026</v>
      </c>
      <c r="G119" t="str">
        <f t="shared" si="13"/>
        <v>Q2</v>
      </c>
      <c r="H119" t="str">
        <f t="shared" si="14"/>
        <v>Tuesday</v>
      </c>
      <c r="I119" t="str">
        <f t="shared" si="15"/>
        <v>No</v>
      </c>
    </row>
    <row r="120" spans="1:9" x14ac:dyDescent="0.25">
      <c r="A120" s="2">
        <v>46141</v>
      </c>
      <c r="B120">
        <f t="shared" si="8"/>
        <v>2026</v>
      </c>
      <c r="C120">
        <f t="shared" si="9"/>
        <v>4</v>
      </c>
      <c r="D120" t="str">
        <f t="shared" si="10"/>
        <v>April</v>
      </c>
      <c r="E120" t="str">
        <f t="shared" si="11"/>
        <v>Apr</v>
      </c>
      <c r="F120" t="str">
        <f t="shared" si="12"/>
        <v>Apr-2026</v>
      </c>
      <c r="G120" t="str">
        <f t="shared" si="13"/>
        <v>Q2</v>
      </c>
      <c r="H120" t="str">
        <f t="shared" si="14"/>
        <v>Wednesday</v>
      </c>
      <c r="I120" t="str">
        <f t="shared" si="15"/>
        <v>No</v>
      </c>
    </row>
    <row r="121" spans="1:9" x14ac:dyDescent="0.25">
      <c r="A121" s="2">
        <v>46142</v>
      </c>
      <c r="B121">
        <f t="shared" si="8"/>
        <v>2026</v>
      </c>
      <c r="C121">
        <f t="shared" si="9"/>
        <v>4</v>
      </c>
      <c r="D121" t="str">
        <f t="shared" si="10"/>
        <v>April</v>
      </c>
      <c r="E121" t="str">
        <f t="shared" si="11"/>
        <v>Apr</v>
      </c>
      <c r="F121" t="str">
        <f t="shared" si="12"/>
        <v>Apr-2026</v>
      </c>
      <c r="G121" t="str">
        <f t="shared" si="13"/>
        <v>Q2</v>
      </c>
      <c r="H121" t="str">
        <f t="shared" si="14"/>
        <v>Thursday</v>
      </c>
      <c r="I121" t="str">
        <f t="shared" si="15"/>
        <v>No</v>
      </c>
    </row>
    <row r="122" spans="1:9" x14ac:dyDescent="0.25">
      <c r="A122" s="2">
        <v>46143</v>
      </c>
      <c r="B122">
        <f t="shared" si="8"/>
        <v>2026</v>
      </c>
      <c r="C122">
        <f t="shared" si="9"/>
        <v>5</v>
      </c>
      <c r="D122" t="str">
        <f t="shared" si="10"/>
        <v>May</v>
      </c>
      <c r="E122" t="str">
        <f t="shared" si="11"/>
        <v>May</v>
      </c>
      <c r="F122" t="str">
        <f t="shared" si="12"/>
        <v>May-2026</v>
      </c>
      <c r="G122" t="str">
        <f t="shared" si="13"/>
        <v>Q2</v>
      </c>
      <c r="H122" t="str">
        <f t="shared" si="14"/>
        <v>Friday</v>
      </c>
      <c r="I122" t="str">
        <f t="shared" si="15"/>
        <v>No</v>
      </c>
    </row>
    <row r="123" spans="1:9" x14ac:dyDescent="0.25">
      <c r="A123" s="2">
        <v>46144</v>
      </c>
      <c r="B123">
        <f t="shared" si="8"/>
        <v>2026</v>
      </c>
      <c r="C123">
        <f t="shared" si="9"/>
        <v>5</v>
      </c>
      <c r="D123" t="str">
        <f t="shared" si="10"/>
        <v>May</v>
      </c>
      <c r="E123" t="str">
        <f t="shared" si="11"/>
        <v>May</v>
      </c>
      <c r="F123" t="str">
        <f t="shared" si="12"/>
        <v>May-2026</v>
      </c>
      <c r="G123" t="str">
        <f t="shared" si="13"/>
        <v>Q2</v>
      </c>
      <c r="H123" t="str">
        <f t="shared" si="14"/>
        <v>Saturday</v>
      </c>
      <c r="I123" t="str">
        <f t="shared" si="15"/>
        <v>Yes</v>
      </c>
    </row>
    <row r="124" spans="1:9" x14ac:dyDescent="0.25">
      <c r="A124" s="2">
        <v>46145</v>
      </c>
      <c r="B124">
        <f t="shared" si="8"/>
        <v>2026</v>
      </c>
      <c r="C124">
        <f t="shared" si="9"/>
        <v>5</v>
      </c>
      <c r="D124" t="str">
        <f t="shared" si="10"/>
        <v>May</v>
      </c>
      <c r="E124" t="str">
        <f t="shared" si="11"/>
        <v>May</v>
      </c>
      <c r="F124" t="str">
        <f t="shared" si="12"/>
        <v>May-2026</v>
      </c>
      <c r="G124" t="str">
        <f t="shared" si="13"/>
        <v>Q2</v>
      </c>
      <c r="H124" t="str">
        <f t="shared" si="14"/>
        <v>Sunday</v>
      </c>
      <c r="I124" t="str">
        <f t="shared" si="15"/>
        <v>Yes</v>
      </c>
    </row>
    <row r="125" spans="1:9" x14ac:dyDescent="0.25">
      <c r="A125" s="2">
        <v>46146</v>
      </c>
      <c r="B125">
        <f t="shared" si="8"/>
        <v>2026</v>
      </c>
      <c r="C125">
        <f t="shared" si="9"/>
        <v>5</v>
      </c>
      <c r="D125" t="str">
        <f t="shared" si="10"/>
        <v>May</v>
      </c>
      <c r="E125" t="str">
        <f t="shared" si="11"/>
        <v>May</v>
      </c>
      <c r="F125" t="str">
        <f t="shared" si="12"/>
        <v>May-2026</v>
      </c>
      <c r="G125" t="str">
        <f t="shared" si="13"/>
        <v>Q2</v>
      </c>
      <c r="H125" t="str">
        <f t="shared" si="14"/>
        <v>Monday</v>
      </c>
      <c r="I125" t="str">
        <f t="shared" si="15"/>
        <v>No</v>
      </c>
    </row>
    <row r="126" spans="1:9" x14ac:dyDescent="0.25">
      <c r="A126" s="2">
        <v>46147</v>
      </c>
      <c r="B126">
        <f t="shared" si="8"/>
        <v>2026</v>
      </c>
      <c r="C126">
        <f t="shared" si="9"/>
        <v>5</v>
      </c>
      <c r="D126" t="str">
        <f t="shared" si="10"/>
        <v>May</v>
      </c>
      <c r="E126" t="str">
        <f t="shared" si="11"/>
        <v>May</v>
      </c>
      <c r="F126" t="str">
        <f t="shared" si="12"/>
        <v>May-2026</v>
      </c>
      <c r="G126" t="str">
        <f t="shared" si="13"/>
        <v>Q2</v>
      </c>
      <c r="H126" t="str">
        <f t="shared" si="14"/>
        <v>Tuesday</v>
      </c>
      <c r="I126" t="str">
        <f t="shared" si="15"/>
        <v>No</v>
      </c>
    </row>
    <row r="127" spans="1:9" x14ac:dyDescent="0.25">
      <c r="A127" s="2">
        <v>46148</v>
      </c>
      <c r="B127">
        <f t="shared" si="8"/>
        <v>2026</v>
      </c>
      <c r="C127">
        <f t="shared" si="9"/>
        <v>5</v>
      </c>
      <c r="D127" t="str">
        <f t="shared" si="10"/>
        <v>May</v>
      </c>
      <c r="E127" t="str">
        <f t="shared" si="11"/>
        <v>May</v>
      </c>
      <c r="F127" t="str">
        <f t="shared" si="12"/>
        <v>May-2026</v>
      </c>
      <c r="G127" t="str">
        <f t="shared" si="13"/>
        <v>Q2</v>
      </c>
      <c r="H127" t="str">
        <f t="shared" si="14"/>
        <v>Wednesday</v>
      </c>
      <c r="I127" t="str">
        <f t="shared" si="15"/>
        <v>No</v>
      </c>
    </row>
    <row r="128" spans="1:9" x14ac:dyDescent="0.25">
      <c r="A128" s="2">
        <v>46149</v>
      </c>
      <c r="B128">
        <f t="shared" si="8"/>
        <v>2026</v>
      </c>
      <c r="C128">
        <f t="shared" si="9"/>
        <v>5</v>
      </c>
      <c r="D128" t="str">
        <f t="shared" si="10"/>
        <v>May</v>
      </c>
      <c r="E128" t="str">
        <f t="shared" si="11"/>
        <v>May</v>
      </c>
      <c r="F128" t="str">
        <f t="shared" si="12"/>
        <v>May-2026</v>
      </c>
      <c r="G128" t="str">
        <f t="shared" si="13"/>
        <v>Q2</v>
      </c>
      <c r="H128" t="str">
        <f t="shared" si="14"/>
        <v>Thursday</v>
      </c>
      <c r="I128" t="str">
        <f t="shared" si="15"/>
        <v>No</v>
      </c>
    </row>
    <row r="129" spans="1:9" x14ac:dyDescent="0.25">
      <c r="A129" s="2">
        <v>46150</v>
      </c>
      <c r="B129">
        <f t="shared" si="8"/>
        <v>2026</v>
      </c>
      <c r="C129">
        <f t="shared" si="9"/>
        <v>5</v>
      </c>
      <c r="D129" t="str">
        <f t="shared" si="10"/>
        <v>May</v>
      </c>
      <c r="E129" t="str">
        <f t="shared" si="11"/>
        <v>May</v>
      </c>
      <c r="F129" t="str">
        <f t="shared" si="12"/>
        <v>May-2026</v>
      </c>
      <c r="G129" t="str">
        <f t="shared" si="13"/>
        <v>Q2</v>
      </c>
      <c r="H129" t="str">
        <f t="shared" si="14"/>
        <v>Friday</v>
      </c>
      <c r="I129" t="str">
        <f t="shared" si="15"/>
        <v>No</v>
      </c>
    </row>
    <row r="130" spans="1:9" x14ac:dyDescent="0.25">
      <c r="A130" s="2">
        <v>46151</v>
      </c>
      <c r="B130">
        <f t="shared" ref="B130:B193" si="16">YEAR(A130)</f>
        <v>2026</v>
      </c>
      <c r="C130">
        <f t="shared" ref="C130:C193" si="17">MONTH(A130)</f>
        <v>5</v>
      </c>
      <c r="D130" t="str">
        <f t="shared" ref="D130:D193" si="18">TEXT(A130,"mmmm")</f>
        <v>May</v>
      </c>
      <c r="E130" t="str">
        <f t="shared" ref="E130:E193" si="19">TEXT(A130,"mmm")</f>
        <v>May</v>
      </c>
      <c r="F130" t="str">
        <f t="shared" ref="F130:F193" si="20">TEXT(A130,"mmm-yyyy")</f>
        <v>May-2026</v>
      </c>
      <c r="G130" t="str">
        <f t="shared" ref="G130:G193" si="21">"Q"&amp;ROUNDUP(MONTH(A130)/3,0)</f>
        <v>Q2</v>
      </c>
      <c r="H130" t="str">
        <f t="shared" ref="H130:H193" si="22">TEXT(A130,"dddd")</f>
        <v>Saturday</v>
      </c>
      <c r="I130" t="str">
        <f t="shared" ref="I130:I193" si="23">IF(WEEKDAY(A130,2)&gt;5,"Yes","No")</f>
        <v>Yes</v>
      </c>
    </row>
    <row r="131" spans="1:9" x14ac:dyDescent="0.25">
      <c r="A131" s="2">
        <v>46152</v>
      </c>
      <c r="B131">
        <f t="shared" si="16"/>
        <v>2026</v>
      </c>
      <c r="C131">
        <f t="shared" si="17"/>
        <v>5</v>
      </c>
      <c r="D131" t="str">
        <f t="shared" si="18"/>
        <v>May</v>
      </c>
      <c r="E131" t="str">
        <f t="shared" si="19"/>
        <v>May</v>
      </c>
      <c r="F131" t="str">
        <f t="shared" si="20"/>
        <v>May-2026</v>
      </c>
      <c r="G131" t="str">
        <f t="shared" si="21"/>
        <v>Q2</v>
      </c>
      <c r="H131" t="str">
        <f t="shared" si="22"/>
        <v>Sunday</v>
      </c>
      <c r="I131" t="str">
        <f t="shared" si="23"/>
        <v>Yes</v>
      </c>
    </row>
    <row r="132" spans="1:9" x14ac:dyDescent="0.25">
      <c r="A132" s="2">
        <v>46153</v>
      </c>
      <c r="B132">
        <f t="shared" si="16"/>
        <v>2026</v>
      </c>
      <c r="C132">
        <f t="shared" si="17"/>
        <v>5</v>
      </c>
      <c r="D132" t="str">
        <f t="shared" si="18"/>
        <v>May</v>
      </c>
      <c r="E132" t="str">
        <f t="shared" si="19"/>
        <v>May</v>
      </c>
      <c r="F132" t="str">
        <f t="shared" si="20"/>
        <v>May-2026</v>
      </c>
      <c r="G132" t="str">
        <f t="shared" si="21"/>
        <v>Q2</v>
      </c>
      <c r="H132" t="str">
        <f t="shared" si="22"/>
        <v>Monday</v>
      </c>
      <c r="I132" t="str">
        <f t="shared" si="23"/>
        <v>No</v>
      </c>
    </row>
    <row r="133" spans="1:9" x14ac:dyDescent="0.25">
      <c r="A133" s="2">
        <v>46154</v>
      </c>
      <c r="B133">
        <f t="shared" si="16"/>
        <v>2026</v>
      </c>
      <c r="C133">
        <f t="shared" si="17"/>
        <v>5</v>
      </c>
      <c r="D133" t="str">
        <f t="shared" si="18"/>
        <v>May</v>
      </c>
      <c r="E133" t="str">
        <f t="shared" si="19"/>
        <v>May</v>
      </c>
      <c r="F133" t="str">
        <f t="shared" si="20"/>
        <v>May-2026</v>
      </c>
      <c r="G133" t="str">
        <f t="shared" si="21"/>
        <v>Q2</v>
      </c>
      <c r="H133" t="str">
        <f t="shared" si="22"/>
        <v>Tuesday</v>
      </c>
      <c r="I133" t="str">
        <f t="shared" si="23"/>
        <v>No</v>
      </c>
    </row>
    <row r="134" spans="1:9" x14ac:dyDescent="0.25">
      <c r="A134" s="2">
        <v>46155</v>
      </c>
      <c r="B134">
        <f t="shared" si="16"/>
        <v>2026</v>
      </c>
      <c r="C134">
        <f t="shared" si="17"/>
        <v>5</v>
      </c>
      <c r="D134" t="str">
        <f t="shared" si="18"/>
        <v>May</v>
      </c>
      <c r="E134" t="str">
        <f t="shared" si="19"/>
        <v>May</v>
      </c>
      <c r="F134" t="str">
        <f t="shared" si="20"/>
        <v>May-2026</v>
      </c>
      <c r="G134" t="str">
        <f t="shared" si="21"/>
        <v>Q2</v>
      </c>
      <c r="H134" t="str">
        <f t="shared" si="22"/>
        <v>Wednesday</v>
      </c>
      <c r="I134" t="str">
        <f t="shared" si="23"/>
        <v>No</v>
      </c>
    </row>
    <row r="135" spans="1:9" x14ac:dyDescent="0.25">
      <c r="A135" s="2">
        <v>46156</v>
      </c>
      <c r="B135">
        <f t="shared" si="16"/>
        <v>2026</v>
      </c>
      <c r="C135">
        <f t="shared" si="17"/>
        <v>5</v>
      </c>
      <c r="D135" t="str">
        <f t="shared" si="18"/>
        <v>May</v>
      </c>
      <c r="E135" t="str">
        <f t="shared" si="19"/>
        <v>May</v>
      </c>
      <c r="F135" t="str">
        <f t="shared" si="20"/>
        <v>May-2026</v>
      </c>
      <c r="G135" t="str">
        <f t="shared" si="21"/>
        <v>Q2</v>
      </c>
      <c r="H135" t="str">
        <f t="shared" si="22"/>
        <v>Thursday</v>
      </c>
      <c r="I135" t="str">
        <f t="shared" si="23"/>
        <v>No</v>
      </c>
    </row>
    <row r="136" spans="1:9" x14ac:dyDescent="0.25">
      <c r="A136" s="2">
        <v>46157</v>
      </c>
      <c r="B136">
        <f t="shared" si="16"/>
        <v>2026</v>
      </c>
      <c r="C136">
        <f t="shared" si="17"/>
        <v>5</v>
      </c>
      <c r="D136" t="str">
        <f t="shared" si="18"/>
        <v>May</v>
      </c>
      <c r="E136" t="str">
        <f t="shared" si="19"/>
        <v>May</v>
      </c>
      <c r="F136" t="str">
        <f t="shared" si="20"/>
        <v>May-2026</v>
      </c>
      <c r="G136" t="str">
        <f t="shared" si="21"/>
        <v>Q2</v>
      </c>
      <c r="H136" t="str">
        <f t="shared" si="22"/>
        <v>Friday</v>
      </c>
      <c r="I136" t="str">
        <f t="shared" si="23"/>
        <v>No</v>
      </c>
    </row>
    <row r="137" spans="1:9" x14ac:dyDescent="0.25">
      <c r="A137" s="2">
        <v>46158</v>
      </c>
      <c r="B137">
        <f t="shared" si="16"/>
        <v>2026</v>
      </c>
      <c r="C137">
        <f t="shared" si="17"/>
        <v>5</v>
      </c>
      <c r="D137" t="str">
        <f t="shared" si="18"/>
        <v>May</v>
      </c>
      <c r="E137" t="str">
        <f t="shared" si="19"/>
        <v>May</v>
      </c>
      <c r="F137" t="str">
        <f t="shared" si="20"/>
        <v>May-2026</v>
      </c>
      <c r="G137" t="str">
        <f t="shared" si="21"/>
        <v>Q2</v>
      </c>
      <c r="H137" t="str">
        <f t="shared" si="22"/>
        <v>Saturday</v>
      </c>
      <c r="I137" t="str">
        <f t="shared" si="23"/>
        <v>Yes</v>
      </c>
    </row>
    <row r="138" spans="1:9" x14ac:dyDescent="0.25">
      <c r="A138" s="2">
        <v>46159</v>
      </c>
      <c r="B138">
        <f t="shared" si="16"/>
        <v>2026</v>
      </c>
      <c r="C138">
        <f t="shared" si="17"/>
        <v>5</v>
      </c>
      <c r="D138" t="str">
        <f t="shared" si="18"/>
        <v>May</v>
      </c>
      <c r="E138" t="str">
        <f t="shared" si="19"/>
        <v>May</v>
      </c>
      <c r="F138" t="str">
        <f t="shared" si="20"/>
        <v>May-2026</v>
      </c>
      <c r="G138" t="str">
        <f t="shared" si="21"/>
        <v>Q2</v>
      </c>
      <c r="H138" t="str">
        <f t="shared" si="22"/>
        <v>Sunday</v>
      </c>
      <c r="I138" t="str">
        <f t="shared" si="23"/>
        <v>Yes</v>
      </c>
    </row>
    <row r="139" spans="1:9" x14ac:dyDescent="0.25">
      <c r="A139" s="2">
        <v>46160</v>
      </c>
      <c r="B139">
        <f t="shared" si="16"/>
        <v>2026</v>
      </c>
      <c r="C139">
        <f t="shared" si="17"/>
        <v>5</v>
      </c>
      <c r="D139" t="str">
        <f t="shared" si="18"/>
        <v>May</v>
      </c>
      <c r="E139" t="str">
        <f t="shared" si="19"/>
        <v>May</v>
      </c>
      <c r="F139" t="str">
        <f t="shared" si="20"/>
        <v>May-2026</v>
      </c>
      <c r="G139" t="str">
        <f t="shared" si="21"/>
        <v>Q2</v>
      </c>
      <c r="H139" t="str">
        <f t="shared" si="22"/>
        <v>Monday</v>
      </c>
      <c r="I139" t="str">
        <f t="shared" si="23"/>
        <v>No</v>
      </c>
    </row>
    <row r="140" spans="1:9" x14ac:dyDescent="0.25">
      <c r="A140" s="2">
        <v>46161</v>
      </c>
      <c r="B140">
        <f t="shared" si="16"/>
        <v>2026</v>
      </c>
      <c r="C140">
        <f t="shared" si="17"/>
        <v>5</v>
      </c>
      <c r="D140" t="str">
        <f t="shared" si="18"/>
        <v>May</v>
      </c>
      <c r="E140" t="str">
        <f t="shared" si="19"/>
        <v>May</v>
      </c>
      <c r="F140" t="str">
        <f t="shared" si="20"/>
        <v>May-2026</v>
      </c>
      <c r="G140" t="str">
        <f t="shared" si="21"/>
        <v>Q2</v>
      </c>
      <c r="H140" t="str">
        <f t="shared" si="22"/>
        <v>Tuesday</v>
      </c>
      <c r="I140" t="str">
        <f t="shared" si="23"/>
        <v>No</v>
      </c>
    </row>
    <row r="141" spans="1:9" x14ac:dyDescent="0.25">
      <c r="A141" s="2">
        <v>46162</v>
      </c>
      <c r="B141">
        <f t="shared" si="16"/>
        <v>2026</v>
      </c>
      <c r="C141">
        <f t="shared" si="17"/>
        <v>5</v>
      </c>
      <c r="D141" t="str">
        <f t="shared" si="18"/>
        <v>May</v>
      </c>
      <c r="E141" t="str">
        <f t="shared" si="19"/>
        <v>May</v>
      </c>
      <c r="F141" t="str">
        <f t="shared" si="20"/>
        <v>May-2026</v>
      </c>
      <c r="G141" t="str">
        <f t="shared" si="21"/>
        <v>Q2</v>
      </c>
      <c r="H141" t="str">
        <f t="shared" si="22"/>
        <v>Wednesday</v>
      </c>
      <c r="I141" t="str">
        <f t="shared" si="23"/>
        <v>No</v>
      </c>
    </row>
    <row r="142" spans="1:9" x14ac:dyDescent="0.25">
      <c r="A142" s="2">
        <v>46163</v>
      </c>
      <c r="B142">
        <f t="shared" si="16"/>
        <v>2026</v>
      </c>
      <c r="C142">
        <f t="shared" si="17"/>
        <v>5</v>
      </c>
      <c r="D142" t="str">
        <f t="shared" si="18"/>
        <v>May</v>
      </c>
      <c r="E142" t="str">
        <f t="shared" si="19"/>
        <v>May</v>
      </c>
      <c r="F142" t="str">
        <f t="shared" si="20"/>
        <v>May-2026</v>
      </c>
      <c r="G142" t="str">
        <f t="shared" si="21"/>
        <v>Q2</v>
      </c>
      <c r="H142" t="str">
        <f t="shared" si="22"/>
        <v>Thursday</v>
      </c>
      <c r="I142" t="str">
        <f t="shared" si="23"/>
        <v>No</v>
      </c>
    </row>
    <row r="143" spans="1:9" x14ac:dyDescent="0.25">
      <c r="A143" s="2">
        <v>46164</v>
      </c>
      <c r="B143">
        <f t="shared" si="16"/>
        <v>2026</v>
      </c>
      <c r="C143">
        <f t="shared" si="17"/>
        <v>5</v>
      </c>
      <c r="D143" t="str">
        <f t="shared" si="18"/>
        <v>May</v>
      </c>
      <c r="E143" t="str">
        <f t="shared" si="19"/>
        <v>May</v>
      </c>
      <c r="F143" t="str">
        <f t="shared" si="20"/>
        <v>May-2026</v>
      </c>
      <c r="G143" t="str">
        <f t="shared" si="21"/>
        <v>Q2</v>
      </c>
      <c r="H143" t="str">
        <f t="shared" si="22"/>
        <v>Friday</v>
      </c>
      <c r="I143" t="str">
        <f t="shared" si="23"/>
        <v>No</v>
      </c>
    </row>
    <row r="144" spans="1:9" x14ac:dyDescent="0.25">
      <c r="A144" s="2">
        <v>46165</v>
      </c>
      <c r="B144">
        <f t="shared" si="16"/>
        <v>2026</v>
      </c>
      <c r="C144">
        <f t="shared" si="17"/>
        <v>5</v>
      </c>
      <c r="D144" t="str">
        <f t="shared" si="18"/>
        <v>May</v>
      </c>
      <c r="E144" t="str">
        <f t="shared" si="19"/>
        <v>May</v>
      </c>
      <c r="F144" t="str">
        <f t="shared" si="20"/>
        <v>May-2026</v>
      </c>
      <c r="G144" t="str">
        <f t="shared" si="21"/>
        <v>Q2</v>
      </c>
      <c r="H144" t="str">
        <f t="shared" si="22"/>
        <v>Saturday</v>
      </c>
      <c r="I144" t="str">
        <f t="shared" si="23"/>
        <v>Yes</v>
      </c>
    </row>
    <row r="145" spans="1:9" x14ac:dyDescent="0.25">
      <c r="A145" s="2">
        <v>46166</v>
      </c>
      <c r="B145">
        <f t="shared" si="16"/>
        <v>2026</v>
      </c>
      <c r="C145">
        <f t="shared" si="17"/>
        <v>5</v>
      </c>
      <c r="D145" t="str">
        <f t="shared" si="18"/>
        <v>May</v>
      </c>
      <c r="E145" t="str">
        <f t="shared" si="19"/>
        <v>May</v>
      </c>
      <c r="F145" t="str">
        <f t="shared" si="20"/>
        <v>May-2026</v>
      </c>
      <c r="G145" t="str">
        <f t="shared" si="21"/>
        <v>Q2</v>
      </c>
      <c r="H145" t="str">
        <f t="shared" si="22"/>
        <v>Sunday</v>
      </c>
      <c r="I145" t="str">
        <f t="shared" si="23"/>
        <v>Yes</v>
      </c>
    </row>
    <row r="146" spans="1:9" x14ac:dyDescent="0.25">
      <c r="A146" s="2">
        <v>46167</v>
      </c>
      <c r="B146">
        <f t="shared" si="16"/>
        <v>2026</v>
      </c>
      <c r="C146">
        <f t="shared" si="17"/>
        <v>5</v>
      </c>
      <c r="D146" t="str">
        <f t="shared" si="18"/>
        <v>May</v>
      </c>
      <c r="E146" t="str">
        <f t="shared" si="19"/>
        <v>May</v>
      </c>
      <c r="F146" t="str">
        <f t="shared" si="20"/>
        <v>May-2026</v>
      </c>
      <c r="G146" t="str">
        <f t="shared" si="21"/>
        <v>Q2</v>
      </c>
      <c r="H146" t="str">
        <f t="shared" si="22"/>
        <v>Monday</v>
      </c>
      <c r="I146" t="str">
        <f t="shared" si="23"/>
        <v>No</v>
      </c>
    </row>
    <row r="147" spans="1:9" x14ac:dyDescent="0.25">
      <c r="A147" s="2">
        <v>46168</v>
      </c>
      <c r="B147">
        <f t="shared" si="16"/>
        <v>2026</v>
      </c>
      <c r="C147">
        <f t="shared" si="17"/>
        <v>5</v>
      </c>
      <c r="D147" t="str">
        <f t="shared" si="18"/>
        <v>May</v>
      </c>
      <c r="E147" t="str">
        <f t="shared" si="19"/>
        <v>May</v>
      </c>
      <c r="F147" t="str">
        <f t="shared" si="20"/>
        <v>May-2026</v>
      </c>
      <c r="G147" t="str">
        <f t="shared" si="21"/>
        <v>Q2</v>
      </c>
      <c r="H147" t="str">
        <f t="shared" si="22"/>
        <v>Tuesday</v>
      </c>
      <c r="I147" t="str">
        <f t="shared" si="23"/>
        <v>No</v>
      </c>
    </row>
    <row r="148" spans="1:9" x14ac:dyDescent="0.25">
      <c r="A148" s="2">
        <v>46169</v>
      </c>
      <c r="B148">
        <f t="shared" si="16"/>
        <v>2026</v>
      </c>
      <c r="C148">
        <f t="shared" si="17"/>
        <v>5</v>
      </c>
      <c r="D148" t="str">
        <f t="shared" si="18"/>
        <v>May</v>
      </c>
      <c r="E148" t="str">
        <f t="shared" si="19"/>
        <v>May</v>
      </c>
      <c r="F148" t="str">
        <f t="shared" si="20"/>
        <v>May-2026</v>
      </c>
      <c r="G148" t="str">
        <f t="shared" si="21"/>
        <v>Q2</v>
      </c>
      <c r="H148" t="str">
        <f t="shared" si="22"/>
        <v>Wednesday</v>
      </c>
      <c r="I148" t="str">
        <f t="shared" si="23"/>
        <v>No</v>
      </c>
    </row>
    <row r="149" spans="1:9" x14ac:dyDescent="0.25">
      <c r="A149" s="2">
        <v>46170</v>
      </c>
      <c r="B149">
        <f t="shared" si="16"/>
        <v>2026</v>
      </c>
      <c r="C149">
        <f t="shared" si="17"/>
        <v>5</v>
      </c>
      <c r="D149" t="str">
        <f t="shared" si="18"/>
        <v>May</v>
      </c>
      <c r="E149" t="str">
        <f t="shared" si="19"/>
        <v>May</v>
      </c>
      <c r="F149" t="str">
        <f t="shared" si="20"/>
        <v>May-2026</v>
      </c>
      <c r="G149" t="str">
        <f t="shared" si="21"/>
        <v>Q2</v>
      </c>
      <c r="H149" t="str">
        <f t="shared" si="22"/>
        <v>Thursday</v>
      </c>
      <c r="I149" t="str">
        <f t="shared" si="23"/>
        <v>No</v>
      </c>
    </row>
    <row r="150" spans="1:9" x14ac:dyDescent="0.25">
      <c r="A150" s="2">
        <v>46171</v>
      </c>
      <c r="B150">
        <f t="shared" si="16"/>
        <v>2026</v>
      </c>
      <c r="C150">
        <f t="shared" si="17"/>
        <v>5</v>
      </c>
      <c r="D150" t="str">
        <f t="shared" si="18"/>
        <v>May</v>
      </c>
      <c r="E150" t="str">
        <f t="shared" si="19"/>
        <v>May</v>
      </c>
      <c r="F150" t="str">
        <f t="shared" si="20"/>
        <v>May-2026</v>
      </c>
      <c r="G150" t="str">
        <f t="shared" si="21"/>
        <v>Q2</v>
      </c>
      <c r="H150" t="str">
        <f t="shared" si="22"/>
        <v>Friday</v>
      </c>
      <c r="I150" t="str">
        <f t="shared" si="23"/>
        <v>No</v>
      </c>
    </row>
    <row r="151" spans="1:9" x14ac:dyDescent="0.25">
      <c r="A151" s="2">
        <v>46172</v>
      </c>
      <c r="B151">
        <f t="shared" si="16"/>
        <v>2026</v>
      </c>
      <c r="C151">
        <f t="shared" si="17"/>
        <v>5</v>
      </c>
      <c r="D151" t="str">
        <f t="shared" si="18"/>
        <v>May</v>
      </c>
      <c r="E151" t="str">
        <f t="shared" si="19"/>
        <v>May</v>
      </c>
      <c r="F151" t="str">
        <f t="shared" si="20"/>
        <v>May-2026</v>
      </c>
      <c r="G151" t="str">
        <f t="shared" si="21"/>
        <v>Q2</v>
      </c>
      <c r="H151" t="str">
        <f t="shared" si="22"/>
        <v>Saturday</v>
      </c>
      <c r="I151" t="str">
        <f t="shared" si="23"/>
        <v>Yes</v>
      </c>
    </row>
    <row r="152" spans="1:9" x14ac:dyDescent="0.25">
      <c r="A152" s="2">
        <v>46173</v>
      </c>
      <c r="B152">
        <f t="shared" si="16"/>
        <v>2026</v>
      </c>
      <c r="C152">
        <f t="shared" si="17"/>
        <v>5</v>
      </c>
      <c r="D152" t="str">
        <f t="shared" si="18"/>
        <v>May</v>
      </c>
      <c r="E152" t="str">
        <f t="shared" si="19"/>
        <v>May</v>
      </c>
      <c r="F152" t="str">
        <f t="shared" si="20"/>
        <v>May-2026</v>
      </c>
      <c r="G152" t="str">
        <f t="shared" si="21"/>
        <v>Q2</v>
      </c>
      <c r="H152" t="str">
        <f t="shared" si="22"/>
        <v>Sunday</v>
      </c>
      <c r="I152" t="str">
        <f t="shared" si="23"/>
        <v>Yes</v>
      </c>
    </row>
    <row r="153" spans="1:9" x14ac:dyDescent="0.25">
      <c r="A153" s="2">
        <v>46174</v>
      </c>
      <c r="B153">
        <f t="shared" si="16"/>
        <v>2026</v>
      </c>
      <c r="C153">
        <f t="shared" si="17"/>
        <v>6</v>
      </c>
      <c r="D153" t="str">
        <f t="shared" si="18"/>
        <v>June</v>
      </c>
      <c r="E153" t="str">
        <f t="shared" si="19"/>
        <v>Jun</v>
      </c>
      <c r="F153" t="str">
        <f t="shared" si="20"/>
        <v>Jun-2026</v>
      </c>
      <c r="G153" t="str">
        <f t="shared" si="21"/>
        <v>Q2</v>
      </c>
      <c r="H153" t="str">
        <f t="shared" si="22"/>
        <v>Monday</v>
      </c>
      <c r="I153" t="str">
        <f t="shared" si="23"/>
        <v>No</v>
      </c>
    </row>
    <row r="154" spans="1:9" x14ac:dyDescent="0.25">
      <c r="A154" s="2">
        <v>46175</v>
      </c>
      <c r="B154">
        <f t="shared" si="16"/>
        <v>2026</v>
      </c>
      <c r="C154">
        <f t="shared" si="17"/>
        <v>6</v>
      </c>
      <c r="D154" t="str">
        <f t="shared" si="18"/>
        <v>June</v>
      </c>
      <c r="E154" t="str">
        <f t="shared" si="19"/>
        <v>Jun</v>
      </c>
      <c r="F154" t="str">
        <f t="shared" si="20"/>
        <v>Jun-2026</v>
      </c>
      <c r="G154" t="str">
        <f t="shared" si="21"/>
        <v>Q2</v>
      </c>
      <c r="H154" t="str">
        <f t="shared" si="22"/>
        <v>Tuesday</v>
      </c>
      <c r="I154" t="str">
        <f t="shared" si="23"/>
        <v>No</v>
      </c>
    </row>
    <row r="155" spans="1:9" x14ac:dyDescent="0.25">
      <c r="A155" s="2">
        <v>46176</v>
      </c>
      <c r="B155">
        <f t="shared" si="16"/>
        <v>2026</v>
      </c>
      <c r="C155">
        <f t="shared" si="17"/>
        <v>6</v>
      </c>
      <c r="D155" t="str">
        <f t="shared" si="18"/>
        <v>June</v>
      </c>
      <c r="E155" t="str">
        <f t="shared" si="19"/>
        <v>Jun</v>
      </c>
      <c r="F155" t="str">
        <f t="shared" si="20"/>
        <v>Jun-2026</v>
      </c>
      <c r="G155" t="str">
        <f t="shared" si="21"/>
        <v>Q2</v>
      </c>
      <c r="H155" t="str">
        <f t="shared" si="22"/>
        <v>Wednesday</v>
      </c>
      <c r="I155" t="str">
        <f t="shared" si="23"/>
        <v>No</v>
      </c>
    </row>
    <row r="156" spans="1:9" x14ac:dyDescent="0.25">
      <c r="A156" s="2">
        <v>46177</v>
      </c>
      <c r="B156">
        <f t="shared" si="16"/>
        <v>2026</v>
      </c>
      <c r="C156">
        <f t="shared" si="17"/>
        <v>6</v>
      </c>
      <c r="D156" t="str">
        <f t="shared" si="18"/>
        <v>June</v>
      </c>
      <c r="E156" t="str">
        <f t="shared" si="19"/>
        <v>Jun</v>
      </c>
      <c r="F156" t="str">
        <f t="shared" si="20"/>
        <v>Jun-2026</v>
      </c>
      <c r="G156" t="str">
        <f t="shared" si="21"/>
        <v>Q2</v>
      </c>
      <c r="H156" t="str">
        <f t="shared" si="22"/>
        <v>Thursday</v>
      </c>
      <c r="I156" t="str">
        <f t="shared" si="23"/>
        <v>No</v>
      </c>
    </row>
    <row r="157" spans="1:9" x14ac:dyDescent="0.25">
      <c r="A157" s="2">
        <v>46178</v>
      </c>
      <c r="B157">
        <f t="shared" si="16"/>
        <v>2026</v>
      </c>
      <c r="C157">
        <f t="shared" si="17"/>
        <v>6</v>
      </c>
      <c r="D157" t="str">
        <f t="shared" si="18"/>
        <v>June</v>
      </c>
      <c r="E157" t="str">
        <f t="shared" si="19"/>
        <v>Jun</v>
      </c>
      <c r="F157" t="str">
        <f t="shared" si="20"/>
        <v>Jun-2026</v>
      </c>
      <c r="G157" t="str">
        <f t="shared" si="21"/>
        <v>Q2</v>
      </c>
      <c r="H157" t="str">
        <f t="shared" si="22"/>
        <v>Friday</v>
      </c>
      <c r="I157" t="str">
        <f t="shared" si="23"/>
        <v>No</v>
      </c>
    </row>
    <row r="158" spans="1:9" x14ac:dyDescent="0.25">
      <c r="A158" s="2">
        <v>46179</v>
      </c>
      <c r="B158">
        <f t="shared" si="16"/>
        <v>2026</v>
      </c>
      <c r="C158">
        <f t="shared" si="17"/>
        <v>6</v>
      </c>
      <c r="D158" t="str">
        <f t="shared" si="18"/>
        <v>June</v>
      </c>
      <c r="E158" t="str">
        <f t="shared" si="19"/>
        <v>Jun</v>
      </c>
      <c r="F158" t="str">
        <f t="shared" si="20"/>
        <v>Jun-2026</v>
      </c>
      <c r="G158" t="str">
        <f t="shared" si="21"/>
        <v>Q2</v>
      </c>
      <c r="H158" t="str">
        <f t="shared" si="22"/>
        <v>Saturday</v>
      </c>
      <c r="I158" t="str">
        <f t="shared" si="23"/>
        <v>Yes</v>
      </c>
    </row>
    <row r="159" spans="1:9" x14ac:dyDescent="0.25">
      <c r="A159" s="2">
        <v>46180</v>
      </c>
      <c r="B159">
        <f t="shared" si="16"/>
        <v>2026</v>
      </c>
      <c r="C159">
        <f t="shared" si="17"/>
        <v>6</v>
      </c>
      <c r="D159" t="str">
        <f t="shared" si="18"/>
        <v>June</v>
      </c>
      <c r="E159" t="str">
        <f t="shared" si="19"/>
        <v>Jun</v>
      </c>
      <c r="F159" t="str">
        <f t="shared" si="20"/>
        <v>Jun-2026</v>
      </c>
      <c r="G159" t="str">
        <f t="shared" si="21"/>
        <v>Q2</v>
      </c>
      <c r="H159" t="str">
        <f t="shared" si="22"/>
        <v>Sunday</v>
      </c>
      <c r="I159" t="str">
        <f t="shared" si="23"/>
        <v>Yes</v>
      </c>
    </row>
    <row r="160" spans="1:9" x14ac:dyDescent="0.25">
      <c r="A160" s="2">
        <v>46181</v>
      </c>
      <c r="B160">
        <f t="shared" si="16"/>
        <v>2026</v>
      </c>
      <c r="C160">
        <f t="shared" si="17"/>
        <v>6</v>
      </c>
      <c r="D160" t="str">
        <f t="shared" si="18"/>
        <v>June</v>
      </c>
      <c r="E160" t="str">
        <f t="shared" si="19"/>
        <v>Jun</v>
      </c>
      <c r="F160" t="str">
        <f t="shared" si="20"/>
        <v>Jun-2026</v>
      </c>
      <c r="G160" t="str">
        <f t="shared" si="21"/>
        <v>Q2</v>
      </c>
      <c r="H160" t="str">
        <f t="shared" si="22"/>
        <v>Monday</v>
      </c>
      <c r="I160" t="str">
        <f t="shared" si="23"/>
        <v>No</v>
      </c>
    </row>
    <row r="161" spans="1:9" x14ac:dyDescent="0.25">
      <c r="A161" s="2">
        <v>46182</v>
      </c>
      <c r="B161">
        <f t="shared" si="16"/>
        <v>2026</v>
      </c>
      <c r="C161">
        <f t="shared" si="17"/>
        <v>6</v>
      </c>
      <c r="D161" t="str">
        <f t="shared" si="18"/>
        <v>June</v>
      </c>
      <c r="E161" t="str">
        <f t="shared" si="19"/>
        <v>Jun</v>
      </c>
      <c r="F161" t="str">
        <f t="shared" si="20"/>
        <v>Jun-2026</v>
      </c>
      <c r="G161" t="str">
        <f t="shared" si="21"/>
        <v>Q2</v>
      </c>
      <c r="H161" t="str">
        <f t="shared" si="22"/>
        <v>Tuesday</v>
      </c>
      <c r="I161" t="str">
        <f t="shared" si="23"/>
        <v>No</v>
      </c>
    </row>
    <row r="162" spans="1:9" x14ac:dyDescent="0.25">
      <c r="A162" s="2">
        <v>46183</v>
      </c>
      <c r="B162">
        <f t="shared" si="16"/>
        <v>2026</v>
      </c>
      <c r="C162">
        <f t="shared" si="17"/>
        <v>6</v>
      </c>
      <c r="D162" t="str">
        <f t="shared" si="18"/>
        <v>June</v>
      </c>
      <c r="E162" t="str">
        <f t="shared" si="19"/>
        <v>Jun</v>
      </c>
      <c r="F162" t="str">
        <f t="shared" si="20"/>
        <v>Jun-2026</v>
      </c>
      <c r="G162" t="str">
        <f t="shared" si="21"/>
        <v>Q2</v>
      </c>
      <c r="H162" t="str">
        <f t="shared" si="22"/>
        <v>Wednesday</v>
      </c>
      <c r="I162" t="str">
        <f t="shared" si="23"/>
        <v>No</v>
      </c>
    </row>
    <row r="163" spans="1:9" x14ac:dyDescent="0.25">
      <c r="A163" s="2">
        <v>46184</v>
      </c>
      <c r="B163">
        <f t="shared" si="16"/>
        <v>2026</v>
      </c>
      <c r="C163">
        <f t="shared" si="17"/>
        <v>6</v>
      </c>
      <c r="D163" t="str">
        <f t="shared" si="18"/>
        <v>June</v>
      </c>
      <c r="E163" t="str">
        <f t="shared" si="19"/>
        <v>Jun</v>
      </c>
      <c r="F163" t="str">
        <f t="shared" si="20"/>
        <v>Jun-2026</v>
      </c>
      <c r="G163" t="str">
        <f t="shared" si="21"/>
        <v>Q2</v>
      </c>
      <c r="H163" t="str">
        <f t="shared" si="22"/>
        <v>Thursday</v>
      </c>
      <c r="I163" t="str">
        <f t="shared" si="23"/>
        <v>No</v>
      </c>
    </row>
    <row r="164" spans="1:9" x14ac:dyDescent="0.25">
      <c r="A164" s="2">
        <v>46185</v>
      </c>
      <c r="B164">
        <f t="shared" si="16"/>
        <v>2026</v>
      </c>
      <c r="C164">
        <f t="shared" si="17"/>
        <v>6</v>
      </c>
      <c r="D164" t="str">
        <f t="shared" si="18"/>
        <v>June</v>
      </c>
      <c r="E164" t="str">
        <f t="shared" si="19"/>
        <v>Jun</v>
      </c>
      <c r="F164" t="str">
        <f t="shared" si="20"/>
        <v>Jun-2026</v>
      </c>
      <c r="G164" t="str">
        <f t="shared" si="21"/>
        <v>Q2</v>
      </c>
      <c r="H164" t="str">
        <f t="shared" si="22"/>
        <v>Friday</v>
      </c>
      <c r="I164" t="str">
        <f t="shared" si="23"/>
        <v>No</v>
      </c>
    </row>
    <row r="165" spans="1:9" x14ac:dyDescent="0.25">
      <c r="A165" s="2">
        <v>46186</v>
      </c>
      <c r="B165">
        <f t="shared" si="16"/>
        <v>2026</v>
      </c>
      <c r="C165">
        <f t="shared" si="17"/>
        <v>6</v>
      </c>
      <c r="D165" t="str">
        <f t="shared" si="18"/>
        <v>June</v>
      </c>
      <c r="E165" t="str">
        <f t="shared" si="19"/>
        <v>Jun</v>
      </c>
      <c r="F165" t="str">
        <f t="shared" si="20"/>
        <v>Jun-2026</v>
      </c>
      <c r="G165" t="str">
        <f t="shared" si="21"/>
        <v>Q2</v>
      </c>
      <c r="H165" t="str">
        <f t="shared" si="22"/>
        <v>Saturday</v>
      </c>
      <c r="I165" t="str">
        <f t="shared" si="23"/>
        <v>Yes</v>
      </c>
    </row>
    <row r="166" spans="1:9" x14ac:dyDescent="0.25">
      <c r="A166" s="2">
        <v>46187</v>
      </c>
      <c r="B166">
        <f t="shared" si="16"/>
        <v>2026</v>
      </c>
      <c r="C166">
        <f t="shared" si="17"/>
        <v>6</v>
      </c>
      <c r="D166" t="str">
        <f t="shared" si="18"/>
        <v>June</v>
      </c>
      <c r="E166" t="str">
        <f t="shared" si="19"/>
        <v>Jun</v>
      </c>
      <c r="F166" t="str">
        <f t="shared" si="20"/>
        <v>Jun-2026</v>
      </c>
      <c r="G166" t="str">
        <f t="shared" si="21"/>
        <v>Q2</v>
      </c>
      <c r="H166" t="str">
        <f t="shared" si="22"/>
        <v>Sunday</v>
      </c>
      <c r="I166" t="str">
        <f t="shared" si="23"/>
        <v>Yes</v>
      </c>
    </row>
    <row r="167" spans="1:9" x14ac:dyDescent="0.25">
      <c r="A167" s="2">
        <v>46188</v>
      </c>
      <c r="B167">
        <f t="shared" si="16"/>
        <v>2026</v>
      </c>
      <c r="C167">
        <f t="shared" si="17"/>
        <v>6</v>
      </c>
      <c r="D167" t="str">
        <f t="shared" si="18"/>
        <v>June</v>
      </c>
      <c r="E167" t="str">
        <f t="shared" si="19"/>
        <v>Jun</v>
      </c>
      <c r="F167" t="str">
        <f t="shared" si="20"/>
        <v>Jun-2026</v>
      </c>
      <c r="G167" t="str">
        <f t="shared" si="21"/>
        <v>Q2</v>
      </c>
      <c r="H167" t="str">
        <f t="shared" si="22"/>
        <v>Monday</v>
      </c>
      <c r="I167" t="str">
        <f t="shared" si="23"/>
        <v>No</v>
      </c>
    </row>
    <row r="168" spans="1:9" x14ac:dyDescent="0.25">
      <c r="A168" s="2">
        <v>46189</v>
      </c>
      <c r="B168">
        <f t="shared" si="16"/>
        <v>2026</v>
      </c>
      <c r="C168">
        <f t="shared" si="17"/>
        <v>6</v>
      </c>
      <c r="D168" t="str">
        <f t="shared" si="18"/>
        <v>June</v>
      </c>
      <c r="E168" t="str">
        <f t="shared" si="19"/>
        <v>Jun</v>
      </c>
      <c r="F168" t="str">
        <f t="shared" si="20"/>
        <v>Jun-2026</v>
      </c>
      <c r="G168" t="str">
        <f t="shared" si="21"/>
        <v>Q2</v>
      </c>
      <c r="H168" t="str">
        <f t="shared" si="22"/>
        <v>Tuesday</v>
      </c>
      <c r="I168" t="str">
        <f t="shared" si="23"/>
        <v>No</v>
      </c>
    </row>
    <row r="169" spans="1:9" x14ac:dyDescent="0.25">
      <c r="A169" s="2">
        <v>46190</v>
      </c>
      <c r="B169">
        <f t="shared" si="16"/>
        <v>2026</v>
      </c>
      <c r="C169">
        <f t="shared" si="17"/>
        <v>6</v>
      </c>
      <c r="D169" t="str">
        <f t="shared" si="18"/>
        <v>June</v>
      </c>
      <c r="E169" t="str">
        <f t="shared" si="19"/>
        <v>Jun</v>
      </c>
      <c r="F169" t="str">
        <f t="shared" si="20"/>
        <v>Jun-2026</v>
      </c>
      <c r="G169" t="str">
        <f t="shared" si="21"/>
        <v>Q2</v>
      </c>
      <c r="H169" t="str">
        <f t="shared" si="22"/>
        <v>Wednesday</v>
      </c>
      <c r="I169" t="str">
        <f t="shared" si="23"/>
        <v>No</v>
      </c>
    </row>
    <row r="170" spans="1:9" x14ac:dyDescent="0.25">
      <c r="A170" s="2">
        <v>46191</v>
      </c>
      <c r="B170">
        <f t="shared" si="16"/>
        <v>2026</v>
      </c>
      <c r="C170">
        <f t="shared" si="17"/>
        <v>6</v>
      </c>
      <c r="D170" t="str">
        <f t="shared" si="18"/>
        <v>June</v>
      </c>
      <c r="E170" t="str">
        <f t="shared" si="19"/>
        <v>Jun</v>
      </c>
      <c r="F170" t="str">
        <f t="shared" si="20"/>
        <v>Jun-2026</v>
      </c>
      <c r="G170" t="str">
        <f t="shared" si="21"/>
        <v>Q2</v>
      </c>
      <c r="H170" t="str">
        <f t="shared" si="22"/>
        <v>Thursday</v>
      </c>
      <c r="I170" t="str">
        <f t="shared" si="23"/>
        <v>No</v>
      </c>
    </row>
    <row r="171" spans="1:9" x14ac:dyDescent="0.25">
      <c r="A171" s="2">
        <v>46192</v>
      </c>
      <c r="B171">
        <f t="shared" si="16"/>
        <v>2026</v>
      </c>
      <c r="C171">
        <f t="shared" si="17"/>
        <v>6</v>
      </c>
      <c r="D171" t="str">
        <f t="shared" si="18"/>
        <v>June</v>
      </c>
      <c r="E171" t="str">
        <f t="shared" si="19"/>
        <v>Jun</v>
      </c>
      <c r="F171" t="str">
        <f t="shared" si="20"/>
        <v>Jun-2026</v>
      </c>
      <c r="G171" t="str">
        <f t="shared" si="21"/>
        <v>Q2</v>
      </c>
      <c r="H171" t="str">
        <f t="shared" si="22"/>
        <v>Friday</v>
      </c>
      <c r="I171" t="str">
        <f t="shared" si="23"/>
        <v>No</v>
      </c>
    </row>
    <row r="172" spans="1:9" x14ac:dyDescent="0.25">
      <c r="A172" s="2">
        <v>46193</v>
      </c>
      <c r="B172">
        <f t="shared" si="16"/>
        <v>2026</v>
      </c>
      <c r="C172">
        <f t="shared" si="17"/>
        <v>6</v>
      </c>
      <c r="D172" t="str">
        <f t="shared" si="18"/>
        <v>June</v>
      </c>
      <c r="E172" t="str">
        <f t="shared" si="19"/>
        <v>Jun</v>
      </c>
      <c r="F172" t="str">
        <f t="shared" si="20"/>
        <v>Jun-2026</v>
      </c>
      <c r="G172" t="str">
        <f t="shared" si="21"/>
        <v>Q2</v>
      </c>
      <c r="H172" t="str">
        <f t="shared" si="22"/>
        <v>Saturday</v>
      </c>
      <c r="I172" t="str">
        <f t="shared" si="23"/>
        <v>Yes</v>
      </c>
    </row>
    <row r="173" spans="1:9" x14ac:dyDescent="0.25">
      <c r="A173" s="2">
        <v>46194</v>
      </c>
      <c r="B173">
        <f t="shared" si="16"/>
        <v>2026</v>
      </c>
      <c r="C173">
        <f t="shared" si="17"/>
        <v>6</v>
      </c>
      <c r="D173" t="str">
        <f t="shared" si="18"/>
        <v>June</v>
      </c>
      <c r="E173" t="str">
        <f t="shared" si="19"/>
        <v>Jun</v>
      </c>
      <c r="F173" t="str">
        <f t="shared" si="20"/>
        <v>Jun-2026</v>
      </c>
      <c r="G173" t="str">
        <f t="shared" si="21"/>
        <v>Q2</v>
      </c>
      <c r="H173" t="str">
        <f t="shared" si="22"/>
        <v>Sunday</v>
      </c>
      <c r="I173" t="str">
        <f t="shared" si="23"/>
        <v>Yes</v>
      </c>
    </row>
    <row r="174" spans="1:9" x14ac:dyDescent="0.25">
      <c r="A174" s="2">
        <v>46195</v>
      </c>
      <c r="B174">
        <f t="shared" si="16"/>
        <v>2026</v>
      </c>
      <c r="C174">
        <f t="shared" si="17"/>
        <v>6</v>
      </c>
      <c r="D174" t="str">
        <f t="shared" si="18"/>
        <v>June</v>
      </c>
      <c r="E174" t="str">
        <f t="shared" si="19"/>
        <v>Jun</v>
      </c>
      <c r="F174" t="str">
        <f t="shared" si="20"/>
        <v>Jun-2026</v>
      </c>
      <c r="G174" t="str">
        <f t="shared" si="21"/>
        <v>Q2</v>
      </c>
      <c r="H174" t="str">
        <f t="shared" si="22"/>
        <v>Monday</v>
      </c>
      <c r="I174" t="str">
        <f t="shared" si="23"/>
        <v>No</v>
      </c>
    </row>
    <row r="175" spans="1:9" x14ac:dyDescent="0.25">
      <c r="A175" s="2">
        <v>46196</v>
      </c>
      <c r="B175">
        <f t="shared" si="16"/>
        <v>2026</v>
      </c>
      <c r="C175">
        <f t="shared" si="17"/>
        <v>6</v>
      </c>
      <c r="D175" t="str">
        <f t="shared" si="18"/>
        <v>June</v>
      </c>
      <c r="E175" t="str">
        <f t="shared" si="19"/>
        <v>Jun</v>
      </c>
      <c r="F175" t="str">
        <f t="shared" si="20"/>
        <v>Jun-2026</v>
      </c>
      <c r="G175" t="str">
        <f t="shared" si="21"/>
        <v>Q2</v>
      </c>
      <c r="H175" t="str">
        <f t="shared" si="22"/>
        <v>Tuesday</v>
      </c>
      <c r="I175" t="str">
        <f t="shared" si="23"/>
        <v>No</v>
      </c>
    </row>
    <row r="176" spans="1:9" x14ac:dyDescent="0.25">
      <c r="A176" s="2">
        <v>46197</v>
      </c>
      <c r="B176">
        <f t="shared" si="16"/>
        <v>2026</v>
      </c>
      <c r="C176">
        <f t="shared" si="17"/>
        <v>6</v>
      </c>
      <c r="D176" t="str">
        <f t="shared" si="18"/>
        <v>June</v>
      </c>
      <c r="E176" t="str">
        <f t="shared" si="19"/>
        <v>Jun</v>
      </c>
      <c r="F176" t="str">
        <f t="shared" si="20"/>
        <v>Jun-2026</v>
      </c>
      <c r="G176" t="str">
        <f t="shared" si="21"/>
        <v>Q2</v>
      </c>
      <c r="H176" t="str">
        <f t="shared" si="22"/>
        <v>Wednesday</v>
      </c>
      <c r="I176" t="str">
        <f t="shared" si="23"/>
        <v>No</v>
      </c>
    </row>
    <row r="177" spans="1:9" x14ac:dyDescent="0.25">
      <c r="A177" s="2">
        <v>46198</v>
      </c>
      <c r="B177">
        <f t="shared" si="16"/>
        <v>2026</v>
      </c>
      <c r="C177">
        <f t="shared" si="17"/>
        <v>6</v>
      </c>
      <c r="D177" t="str">
        <f t="shared" si="18"/>
        <v>June</v>
      </c>
      <c r="E177" t="str">
        <f t="shared" si="19"/>
        <v>Jun</v>
      </c>
      <c r="F177" t="str">
        <f t="shared" si="20"/>
        <v>Jun-2026</v>
      </c>
      <c r="G177" t="str">
        <f t="shared" si="21"/>
        <v>Q2</v>
      </c>
      <c r="H177" t="str">
        <f t="shared" si="22"/>
        <v>Thursday</v>
      </c>
      <c r="I177" t="str">
        <f t="shared" si="23"/>
        <v>No</v>
      </c>
    </row>
    <row r="178" spans="1:9" x14ac:dyDescent="0.25">
      <c r="A178" s="2">
        <v>46199</v>
      </c>
      <c r="B178">
        <f t="shared" si="16"/>
        <v>2026</v>
      </c>
      <c r="C178">
        <f t="shared" si="17"/>
        <v>6</v>
      </c>
      <c r="D178" t="str">
        <f t="shared" si="18"/>
        <v>June</v>
      </c>
      <c r="E178" t="str">
        <f t="shared" si="19"/>
        <v>Jun</v>
      </c>
      <c r="F178" t="str">
        <f t="shared" si="20"/>
        <v>Jun-2026</v>
      </c>
      <c r="G178" t="str">
        <f t="shared" si="21"/>
        <v>Q2</v>
      </c>
      <c r="H178" t="str">
        <f t="shared" si="22"/>
        <v>Friday</v>
      </c>
      <c r="I178" t="str">
        <f t="shared" si="23"/>
        <v>No</v>
      </c>
    </row>
    <row r="179" spans="1:9" x14ac:dyDescent="0.25">
      <c r="A179" s="2">
        <v>46200</v>
      </c>
      <c r="B179">
        <f t="shared" si="16"/>
        <v>2026</v>
      </c>
      <c r="C179">
        <f t="shared" si="17"/>
        <v>6</v>
      </c>
      <c r="D179" t="str">
        <f t="shared" si="18"/>
        <v>June</v>
      </c>
      <c r="E179" t="str">
        <f t="shared" si="19"/>
        <v>Jun</v>
      </c>
      <c r="F179" t="str">
        <f t="shared" si="20"/>
        <v>Jun-2026</v>
      </c>
      <c r="G179" t="str">
        <f t="shared" si="21"/>
        <v>Q2</v>
      </c>
      <c r="H179" t="str">
        <f t="shared" si="22"/>
        <v>Saturday</v>
      </c>
      <c r="I179" t="str">
        <f t="shared" si="23"/>
        <v>Yes</v>
      </c>
    </row>
    <row r="180" spans="1:9" x14ac:dyDescent="0.25">
      <c r="A180" s="2">
        <v>46201</v>
      </c>
      <c r="B180">
        <f t="shared" si="16"/>
        <v>2026</v>
      </c>
      <c r="C180">
        <f t="shared" si="17"/>
        <v>6</v>
      </c>
      <c r="D180" t="str">
        <f t="shared" si="18"/>
        <v>June</v>
      </c>
      <c r="E180" t="str">
        <f t="shared" si="19"/>
        <v>Jun</v>
      </c>
      <c r="F180" t="str">
        <f t="shared" si="20"/>
        <v>Jun-2026</v>
      </c>
      <c r="G180" t="str">
        <f t="shared" si="21"/>
        <v>Q2</v>
      </c>
      <c r="H180" t="str">
        <f t="shared" si="22"/>
        <v>Sunday</v>
      </c>
      <c r="I180" t="str">
        <f t="shared" si="23"/>
        <v>Yes</v>
      </c>
    </row>
    <row r="181" spans="1:9" x14ac:dyDescent="0.25">
      <c r="A181" s="2">
        <v>46202</v>
      </c>
      <c r="B181">
        <f t="shared" si="16"/>
        <v>2026</v>
      </c>
      <c r="C181">
        <f t="shared" si="17"/>
        <v>6</v>
      </c>
      <c r="D181" t="str">
        <f t="shared" si="18"/>
        <v>June</v>
      </c>
      <c r="E181" t="str">
        <f t="shared" si="19"/>
        <v>Jun</v>
      </c>
      <c r="F181" t="str">
        <f t="shared" si="20"/>
        <v>Jun-2026</v>
      </c>
      <c r="G181" t="str">
        <f t="shared" si="21"/>
        <v>Q2</v>
      </c>
      <c r="H181" t="str">
        <f t="shared" si="22"/>
        <v>Monday</v>
      </c>
      <c r="I181" t="str">
        <f t="shared" si="23"/>
        <v>No</v>
      </c>
    </row>
    <row r="182" spans="1:9" x14ac:dyDescent="0.25">
      <c r="A182" s="2">
        <v>46203</v>
      </c>
      <c r="B182">
        <f t="shared" si="16"/>
        <v>2026</v>
      </c>
      <c r="C182">
        <f t="shared" si="17"/>
        <v>6</v>
      </c>
      <c r="D182" t="str">
        <f t="shared" si="18"/>
        <v>June</v>
      </c>
      <c r="E182" t="str">
        <f t="shared" si="19"/>
        <v>Jun</v>
      </c>
      <c r="F182" t="str">
        <f t="shared" si="20"/>
        <v>Jun-2026</v>
      </c>
      <c r="G182" t="str">
        <f t="shared" si="21"/>
        <v>Q2</v>
      </c>
      <c r="H182" t="str">
        <f t="shared" si="22"/>
        <v>Tuesday</v>
      </c>
      <c r="I182" t="str">
        <f t="shared" si="23"/>
        <v>No</v>
      </c>
    </row>
    <row r="183" spans="1:9" x14ac:dyDescent="0.25">
      <c r="A183" s="2">
        <v>46204</v>
      </c>
      <c r="B183">
        <f t="shared" si="16"/>
        <v>2026</v>
      </c>
      <c r="C183">
        <f t="shared" si="17"/>
        <v>7</v>
      </c>
      <c r="D183" t="str">
        <f t="shared" si="18"/>
        <v>July</v>
      </c>
      <c r="E183" t="str">
        <f t="shared" si="19"/>
        <v>Jul</v>
      </c>
      <c r="F183" t="str">
        <f t="shared" si="20"/>
        <v>Jul-2026</v>
      </c>
      <c r="G183" t="str">
        <f t="shared" si="21"/>
        <v>Q3</v>
      </c>
      <c r="H183" t="str">
        <f t="shared" si="22"/>
        <v>Wednesday</v>
      </c>
      <c r="I183" t="str">
        <f t="shared" si="23"/>
        <v>No</v>
      </c>
    </row>
    <row r="184" spans="1:9" x14ac:dyDescent="0.25">
      <c r="A184" s="2">
        <v>46205</v>
      </c>
      <c r="B184">
        <f t="shared" si="16"/>
        <v>2026</v>
      </c>
      <c r="C184">
        <f t="shared" si="17"/>
        <v>7</v>
      </c>
      <c r="D184" t="str">
        <f t="shared" si="18"/>
        <v>July</v>
      </c>
      <c r="E184" t="str">
        <f t="shared" si="19"/>
        <v>Jul</v>
      </c>
      <c r="F184" t="str">
        <f t="shared" si="20"/>
        <v>Jul-2026</v>
      </c>
      <c r="G184" t="str">
        <f t="shared" si="21"/>
        <v>Q3</v>
      </c>
      <c r="H184" t="str">
        <f t="shared" si="22"/>
        <v>Thursday</v>
      </c>
      <c r="I184" t="str">
        <f t="shared" si="23"/>
        <v>No</v>
      </c>
    </row>
    <row r="185" spans="1:9" x14ac:dyDescent="0.25">
      <c r="A185" s="2">
        <v>46206</v>
      </c>
      <c r="B185">
        <f t="shared" si="16"/>
        <v>2026</v>
      </c>
      <c r="C185">
        <f t="shared" si="17"/>
        <v>7</v>
      </c>
      <c r="D185" t="str">
        <f t="shared" si="18"/>
        <v>July</v>
      </c>
      <c r="E185" t="str">
        <f t="shared" si="19"/>
        <v>Jul</v>
      </c>
      <c r="F185" t="str">
        <f t="shared" si="20"/>
        <v>Jul-2026</v>
      </c>
      <c r="G185" t="str">
        <f t="shared" si="21"/>
        <v>Q3</v>
      </c>
      <c r="H185" t="str">
        <f t="shared" si="22"/>
        <v>Friday</v>
      </c>
      <c r="I185" t="str">
        <f t="shared" si="23"/>
        <v>No</v>
      </c>
    </row>
    <row r="186" spans="1:9" x14ac:dyDescent="0.25">
      <c r="A186" s="2">
        <v>46207</v>
      </c>
      <c r="B186">
        <f t="shared" si="16"/>
        <v>2026</v>
      </c>
      <c r="C186">
        <f t="shared" si="17"/>
        <v>7</v>
      </c>
      <c r="D186" t="str">
        <f t="shared" si="18"/>
        <v>July</v>
      </c>
      <c r="E186" t="str">
        <f t="shared" si="19"/>
        <v>Jul</v>
      </c>
      <c r="F186" t="str">
        <f t="shared" si="20"/>
        <v>Jul-2026</v>
      </c>
      <c r="G186" t="str">
        <f t="shared" si="21"/>
        <v>Q3</v>
      </c>
      <c r="H186" t="str">
        <f t="shared" si="22"/>
        <v>Saturday</v>
      </c>
      <c r="I186" t="str">
        <f t="shared" si="23"/>
        <v>Yes</v>
      </c>
    </row>
    <row r="187" spans="1:9" x14ac:dyDescent="0.25">
      <c r="A187" s="2">
        <v>46208</v>
      </c>
      <c r="B187">
        <f t="shared" si="16"/>
        <v>2026</v>
      </c>
      <c r="C187">
        <f t="shared" si="17"/>
        <v>7</v>
      </c>
      <c r="D187" t="str">
        <f t="shared" si="18"/>
        <v>July</v>
      </c>
      <c r="E187" t="str">
        <f t="shared" si="19"/>
        <v>Jul</v>
      </c>
      <c r="F187" t="str">
        <f t="shared" si="20"/>
        <v>Jul-2026</v>
      </c>
      <c r="G187" t="str">
        <f t="shared" si="21"/>
        <v>Q3</v>
      </c>
      <c r="H187" t="str">
        <f t="shared" si="22"/>
        <v>Sunday</v>
      </c>
      <c r="I187" t="str">
        <f t="shared" si="23"/>
        <v>Yes</v>
      </c>
    </row>
    <row r="188" spans="1:9" x14ac:dyDescent="0.25">
      <c r="A188" s="2">
        <v>46209</v>
      </c>
      <c r="B188">
        <f t="shared" si="16"/>
        <v>2026</v>
      </c>
      <c r="C188">
        <f t="shared" si="17"/>
        <v>7</v>
      </c>
      <c r="D188" t="str">
        <f t="shared" si="18"/>
        <v>July</v>
      </c>
      <c r="E188" t="str">
        <f t="shared" si="19"/>
        <v>Jul</v>
      </c>
      <c r="F188" t="str">
        <f t="shared" si="20"/>
        <v>Jul-2026</v>
      </c>
      <c r="G188" t="str">
        <f t="shared" si="21"/>
        <v>Q3</v>
      </c>
      <c r="H188" t="str">
        <f t="shared" si="22"/>
        <v>Monday</v>
      </c>
      <c r="I188" t="str">
        <f t="shared" si="23"/>
        <v>No</v>
      </c>
    </row>
    <row r="189" spans="1:9" x14ac:dyDescent="0.25">
      <c r="A189" s="2">
        <v>46210</v>
      </c>
      <c r="B189">
        <f t="shared" si="16"/>
        <v>2026</v>
      </c>
      <c r="C189">
        <f t="shared" si="17"/>
        <v>7</v>
      </c>
      <c r="D189" t="str">
        <f t="shared" si="18"/>
        <v>July</v>
      </c>
      <c r="E189" t="str">
        <f t="shared" si="19"/>
        <v>Jul</v>
      </c>
      <c r="F189" t="str">
        <f t="shared" si="20"/>
        <v>Jul-2026</v>
      </c>
      <c r="G189" t="str">
        <f t="shared" si="21"/>
        <v>Q3</v>
      </c>
      <c r="H189" t="str">
        <f t="shared" si="22"/>
        <v>Tuesday</v>
      </c>
      <c r="I189" t="str">
        <f t="shared" si="23"/>
        <v>No</v>
      </c>
    </row>
    <row r="190" spans="1:9" x14ac:dyDescent="0.25">
      <c r="A190" s="2">
        <v>46211</v>
      </c>
      <c r="B190">
        <f t="shared" si="16"/>
        <v>2026</v>
      </c>
      <c r="C190">
        <f t="shared" si="17"/>
        <v>7</v>
      </c>
      <c r="D190" t="str">
        <f t="shared" si="18"/>
        <v>July</v>
      </c>
      <c r="E190" t="str">
        <f t="shared" si="19"/>
        <v>Jul</v>
      </c>
      <c r="F190" t="str">
        <f t="shared" si="20"/>
        <v>Jul-2026</v>
      </c>
      <c r="G190" t="str">
        <f t="shared" si="21"/>
        <v>Q3</v>
      </c>
      <c r="H190" t="str">
        <f t="shared" si="22"/>
        <v>Wednesday</v>
      </c>
      <c r="I190" t="str">
        <f t="shared" si="23"/>
        <v>No</v>
      </c>
    </row>
    <row r="191" spans="1:9" x14ac:dyDescent="0.25">
      <c r="A191" s="2">
        <v>46212</v>
      </c>
      <c r="B191">
        <f t="shared" si="16"/>
        <v>2026</v>
      </c>
      <c r="C191">
        <f t="shared" si="17"/>
        <v>7</v>
      </c>
      <c r="D191" t="str">
        <f t="shared" si="18"/>
        <v>July</v>
      </c>
      <c r="E191" t="str">
        <f t="shared" si="19"/>
        <v>Jul</v>
      </c>
      <c r="F191" t="str">
        <f t="shared" si="20"/>
        <v>Jul-2026</v>
      </c>
      <c r="G191" t="str">
        <f t="shared" si="21"/>
        <v>Q3</v>
      </c>
      <c r="H191" t="str">
        <f t="shared" si="22"/>
        <v>Thursday</v>
      </c>
      <c r="I191" t="str">
        <f t="shared" si="23"/>
        <v>No</v>
      </c>
    </row>
    <row r="192" spans="1:9" x14ac:dyDescent="0.25">
      <c r="A192" s="2">
        <v>46213</v>
      </c>
      <c r="B192">
        <f t="shared" si="16"/>
        <v>2026</v>
      </c>
      <c r="C192">
        <f t="shared" si="17"/>
        <v>7</v>
      </c>
      <c r="D192" t="str">
        <f t="shared" si="18"/>
        <v>July</v>
      </c>
      <c r="E192" t="str">
        <f t="shared" si="19"/>
        <v>Jul</v>
      </c>
      <c r="F192" t="str">
        <f t="shared" si="20"/>
        <v>Jul-2026</v>
      </c>
      <c r="G192" t="str">
        <f t="shared" si="21"/>
        <v>Q3</v>
      </c>
      <c r="H192" t="str">
        <f t="shared" si="22"/>
        <v>Friday</v>
      </c>
      <c r="I192" t="str">
        <f t="shared" si="23"/>
        <v>No</v>
      </c>
    </row>
    <row r="193" spans="1:9" x14ac:dyDescent="0.25">
      <c r="A193" s="2">
        <v>46214</v>
      </c>
      <c r="B193">
        <f t="shared" si="16"/>
        <v>2026</v>
      </c>
      <c r="C193">
        <f t="shared" si="17"/>
        <v>7</v>
      </c>
      <c r="D193" t="str">
        <f t="shared" si="18"/>
        <v>July</v>
      </c>
      <c r="E193" t="str">
        <f t="shared" si="19"/>
        <v>Jul</v>
      </c>
      <c r="F193" t="str">
        <f t="shared" si="20"/>
        <v>Jul-2026</v>
      </c>
      <c r="G193" t="str">
        <f t="shared" si="21"/>
        <v>Q3</v>
      </c>
      <c r="H193" t="str">
        <f t="shared" si="22"/>
        <v>Saturday</v>
      </c>
      <c r="I193" t="str">
        <f t="shared" si="23"/>
        <v>Yes</v>
      </c>
    </row>
    <row r="194" spans="1:9" x14ac:dyDescent="0.25">
      <c r="A194" s="2">
        <v>46215</v>
      </c>
      <c r="B194">
        <f t="shared" ref="B194:B257" si="24">YEAR(A194)</f>
        <v>2026</v>
      </c>
      <c r="C194">
        <f t="shared" ref="C194:C257" si="25">MONTH(A194)</f>
        <v>7</v>
      </c>
      <c r="D194" t="str">
        <f t="shared" ref="D194:D257" si="26">TEXT(A194,"mmmm")</f>
        <v>July</v>
      </c>
      <c r="E194" t="str">
        <f t="shared" ref="E194:E257" si="27">TEXT(A194,"mmm")</f>
        <v>Jul</v>
      </c>
      <c r="F194" t="str">
        <f t="shared" ref="F194:F257" si="28">TEXT(A194,"mmm-yyyy")</f>
        <v>Jul-2026</v>
      </c>
      <c r="G194" t="str">
        <f t="shared" ref="G194:G257" si="29">"Q"&amp;ROUNDUP(MONTH(A194)/3,0)</f>
        <v>Q3</v>
      </c>
      <c r="H194" t="str">
        <f t="shared" ref="H194:H257" si="30">TEXT(A194,"dddd")</f>
        <v>Sunday</v>
      </c>
      <c r="I194" t="str">
        <f t="shared" ref="I194:I257" si="31">IF(WEEKDAY(A194,2)&gt;5,"Yes","No")</f>
        <v>Yes</v>
      </c>
    </row>
    <row r="195" spans="1:9" x14ac:dyDescent="0.25">
      <c r="A195" s="2">
        <v>46216</v>
      </c>
      <c r="B195">
        <f t="shared" si="24"/>
        <v>2026</v>
      </c>
      <c r="C195">
        <f t="shared" si="25"/>
        <v>7</v>
      </c>
      <c r="D195" t="str">
        <f t="shared" si="26"/>
        <v>July</v>
      </c>
      <c r="E195" t="str">
        <f t="shared" si="27"/>
        <v>Jul</v>
      </c>
      <c r="F195" t="str">
        <f t="shared" si="28"/>
        <v>Jul-2026</v>
      </c>
      <c r="G195" t="str">
        <f t="shared" si="29"/>
        <v>Q3</v>
      </c>
      <c r="H195" t="str">
        <f t="shared" si="30"/>
        <v>Monday</v>
      </c>
      <c r="I195" t="str">
        <f t="shared" si="31"/>
        <v>No</v>
      </c>
    </row>
    <row r="196" spans="1:9" x14ac:dyDescent="0.25">
      <c r="A196" s="2">
        <v>46217</v>
      </c>
      <c r="B196">
        <f t="shared" si="24"/>
        <v>2026</v>
      </c>
      <c r="C196">
        <f t="shared" si="25"/>
        <v>7</v>
      </c>
      <c r="D196" t="str">
        <f t="shared" si="26"/>
        <v>July</v>
      </c>
      <c r="E196" t="str">
        <f t="shared" si="27"/>
        <v>Jul</v>
      </c>
      <c r="F196" t="str">
        <f t="shared" si="28"/>
        <v>Jul-2026</v>
      </c>
      <c r="G196" t="str">
        <f t="shared" si="29"/>
        <v>Q3</v>
      </c>
      <c r="H196" t="str">
        <f t="shared" si="30"/>
        <v>Tuesday</v>
      </c>
      <c r="I196" t="str">
        <f t="shared" si="31"/>
        <v>No</v>
      </c>
    </row>
    <row r="197" spans="1:9" x14ac:dyDescent="0.25">
      <c r="A197" s="2">
        <v>46218</v>
      </c>
      <c r="B197">
        <f t="shared" si="24"/>
        <v>2026</v>
      </c>
      <c r="C197">
        <f t="shared" si="25"/>
        <v>7</v>
      </c>
      <c r="D197" t="str">
        <f t="shared" si="26"/>
        <v>July</v>
      </c>
      <c r="E197" t="str">
        <f t="shared" si="27"/>
        <v>Jul</v>
      </c>
      <c r="F197" t="str">
        <f t="shared" si="28"/>
        <v>Jul-2026</v>
      </c>
      <c r="G197" t="str">
        <f t="shared" si="29"/>
        <v>Q3</v>
      </c>
      <c r="H197" t="str">
        <f t="shared" si="30"/>
        <v>Wednesday</v>
      </c>
      <c r="I197" t="str">
        <f t="shared" si="31"/>
        <v>No</v>
      </c>
    </row>
    <row r="198" spans="1:9" x14ac:dyDescent="0.25">
      <c r="A198" s="2">
        <v>46219</v>
      </c>
      <c r="B198">
        <f t="shared" si="24"/>
        <v>2026</v>
      </c>
      <c r="C198">
        <f t="shared" si="25"/>
        <v>7</v>
      </c>
      <c r="D198" t="str">
        <f t="shared" si="26"/>
        <v>July</v>
      </c>
      <c r="E198" t="str">
        <f t="shared" si="27"/>
        <v>Jul</v>
      </c>
      <c r="F198" t="str">
        <f t="shared" si="28"/>
        <v>Jul-2026</v>
      </c>
      <c r="G198" t="str">
        <f t="shared" si="29"/>
        <v>Q3</v>
      </c>
      <c r="H198" t="str">
        <f t="shared" si="30"/>
        <v>Thursday</v>
      </c>
      <c r="I198" t="str">
        <f t="shared" si="31"/>
        <v>No</v>
      </c>
    </row>
    <row r="199" spans="1:9" x14ac:dyDescent="0.25">
      <c r="A199" s="2">
        <v>46220</v>
      </c>
      <c r="B199">
        <f t="shared" si="24"/>
        <v>2026</v>
      </c>
      <c r="C199">
        <f t="shared" si="25"/>
        <v>7</v>
      </c>
      <c r="D199" t="str">
        <f t="shared" si="26"/>
        <v>July</v>
      </c>
      <c r="E199" t="str">
        <f t="shared" si="27"/>
        <v>Jul</v>
      </c>
      <c r="F199" t="str">
        <f t="shared" si="28"/>
        <v>Jul-2026</v>
      </c>
      <c r="G199" t="str">
        <f t="shared" si="29"/>
        <v>Q3</v>
      </c>
      <c r="H199" t="str">
        <f t="shared" si="30"/>
        <v>Friday</v>
      </c>
      <c r="I199" t="str">
        <f t="shared" si="31"/>
        <v>No</v>
      </c>
    </row>
    <row r="200" spans="1:9" x14ac:dyDescent="0.25">
      <c r="A200" s="2">
        <v>46221</v>
      </c>
      <c r="B200">
        <f t="shared" si="24"/>
        <v>2026</v>
      </c>
      <c r="C200">
        <f t="shared" si="25"/>
        <v>7</v>
      </c>
      <c r="D200" t="str">
        <f t="shared" si="26"/>
        <v>July</v>
      </c>
      <c r="E200" t="str">
        <f t="shared" si="27"/>
        <v>Jul</v>
      </c>
      <c r="F200" t="str">
        <f t="shared" si="28"/>
        <v>Jul-2026</v>
      </c>
      <c r="G200" t="str">
        <f t="shared" si="29"/>
        <v>Q3</v>
      </c>
      <c r="H200" t="str">
        <f t="shared" si="30"/>
        <v>Saturday</v>
      </c>
      <c r="I200" t="str">
        <f t="shared" si="31"/>
        <v>Yes</v>
      </c>
    </row>
    <row r="201" spans="1:9" x14ac:dyDescent="0.25">
      <c r="A201" s="2">
        <v>46222</v>
      </c>
      <c r="B201">
        <f t="shared" si="24"/>
        <v>2026</v>
      </c>
      <c r="C201">
        <f t="shared" si="25"/>
        <v>7</v>
      </c>
      <c r="D201" t="str">
        <f t="shared" si="26"/>
        <v>July</v>
      </c>
      <c r="E201" t="str">
        <f t="shared" si="27"/>
        <v>Jul</v>
      </c>
      <c r="F201" t="str">
        <f t="shared" si="28"/>
        <v>Jul-2026</v>
      </c>
      <c r="G201" t="str">
        <f t="shared" si="29"/>
        <v>Q3</v>
      </c>
      <c r="H201" t="str">
        <f t="shared" si="30"/>
        <v>Sunday</v>
      </c>
      <c r="I201" t="str">
        <f t="shared" si="31"/>
        <v>Yes</v>
      </c>
    </row>
    <row r="202" spans="1:9" x14ac:dyDescent="0.25">
      <c r="A202" s="2">
        <v>46223</v>
      </c>
      <c r="B202">
        <f t="shared" si="24"/>
        <v>2026</v>
      </c>
      <c r="C202">
        <f t="shared" si="25"/>
        <v>7</v>
      </c>
      <c r="D202" t="str">
        <f t="shared" si="26"/>
        <v>July</v>
      </c>
      <c r="E202" t="str">
        <f t="shared" si="27"/>
        <v>Jul</v>
      </c>
      <c r="F202" t="str">
        <f t="shared" si="28"/>
        <v>Jul-2026</v>
      </c>
      <c r="G202" t="str">
        <f t="shared" si="29"/>
        <v>Q3</v>
      </c>
      <c r="H202" t="str">
        <f t="shared" si="30"/>
        <v>Monday</v>
      </c>
      <c r="I202" t="str">
        <f t="shared" si="31"/>
        <v>No</v>
      </c>
    </row>
    <row r="203" spans="1:9" x14ac:dyDescent="0.25">
      <c r="A203" s="2">
        <v>46224</v>
      </c>
      <c r="B203">
        <f t="shared" si="24"/>
        <v>2026</v>
      </c>
      <c r="C203">
        <f t="shared" si="25"/>
        <v>7</v>
      </c>
      <c r="D203" t="str">
        <f t="shared" si="26"/>
        <v>July</v>
      </c>
      <c r="E203" t="str">
        <f t="shared" si="27"/>
        <v>Jul</v>
      </c>
      <c r="F203" t="str">
        <f t="shared" si="28"/>
        <v>Jul-2026</v>
      </c>
      <c r="G203" t="str">
        <f t="shared" si="29"/>
        <v>Q3</v>
      </c>
      <c r="H203" t="str">
        <f t="shared" si="30"/>
        <v>Tuesday</v>
      </c>
      <c r="I203" t="str">
        <f t="shared" si="31"/>
        <v>No</v>
      </c>
    </row>
    <row r="204" spans="1:9" x14ac:dyDescent="0.25">
      <c r="A204" s="2">
        <v>46225</v>
      </c>
      <c r="B204">
        <f t="shared" si="24"/>
        <v>2026</v>
      </c>
      <c r="C204">
        <f t="shared" si="25"/>
        <v>7</v>
      </c>
      <c r="D204" t="str">
        <f t="shared" si="26"/>
        <v>July</v>
      </c>
      <c r="E204" t="str">
        <f t="shared" si="27"/>
        <v>Jul</v>
      </c>
      <c r="F204" t="str">
        <f t="shared" si="28"/>
        <v>Jul-2026</v>
      </c>
      <c r="G204" t="str">
        <f t="shared" si="29"/>
        <v>Q3</v>
      </c>
      <c r="H204" t="str">
        <f t="shared" si="30"/>
        <v>Wednesday</v>
      </c>
      <c r="I204" t="str">
        <f t="shared" si="31"/>
        <v>No</v>
      </c>
    </row>
    <row r="205" spans="1:9" x14ac:dyDescent="0.25">
      <c r="A205" s="2">
        <v>46226</v>
      </c>
      <c r="B205">
        <f t="shared" si="24"/>
        <v>2026</v>
      </c>
      <c r="C205">
        <f t="shared" si="25"/>
        <v>7</v>
      </c>
      <c r="D205" t="str">
        <f t="shared" si="26"/>
        <v>July</v>
      </c>
      <c r="E205" t="str">
        <f t="shared" si="27"/>
        <v>Jul</v>
      </c>
      <c r="F205" t="str">
        <f t="shared" si="28"/>
        <v>Jul-2026</v>
      </c>
      <c r="G205" t="str">
        <f t="shared" si="29"/>
        <v>Q3</v>
      </c>
      <c r="H205" t="str">
        <f t="shared" si="30"/>
        <v>Thursday</v>
      </c>
      <c r="I205" t="str">
        <f t="shared" si="31"/>
        <v>No</v>
      </c>
    </row>
    <row r="206" spans="1:9" x14ac:dyDescent="0.25">
      <c r="A206" s="2">
        <v>46227</v>
      </c>
      <c r="B206">
        <f t="shared" si="24"/>
        <v>2026</v>
      </c>
      <c r="C206">
        <f t="shared" si="25"/>
        <v>7</v>
      </c>
      <c r="D206" t="str">
        <f t="shared" si="26"/>
        <v>July</v>
      </c>
      <c r="E206" t="str">
        <f t="shared" si="27"/>
        <v>Jul</v>
      </c>
      <c r="F206" t="str">
        <f t="shared" si="28"/>
        <v>Jul-2026</v>
      </c>
      <c r="G206" t="str">
        <f t="shared" si="29"/>
        <v>Q3</v>
      </c>
      <c r="H206" t="str">
        <f t="shared" si="30"/>
        <v>Friday</v>
      </c>
      <c r="I206" t="str">
        <f t="shared" si="31"/>
        <v>No</v>
      </c>
    </row>
    <row r="207" spans="1:9" x14ac:dyDescent="0.25">
      <c r="A207" s="2">
        <v>46228</v>
      </c>
      <c r="B207">
        <f t="shared" si="24"/>
        <v>2026</v>
      </c>
      <c r="C207">
        <f t="shared" si="25"/>
        <v>7</v>
      </c>
      <c r="D207" t="str">
        <f t="shared" si="26"/>
        <v>July</v>
      </c>
      <c r="E207" t="str">
        <f t="shared" si="27"/>
        <v>Jul</v>
      </c>
      <c r="F207" t="str">
        <f t="shared" si="28"/>
        <v>Jul-2026</v>
      </c>
      <c r="G207" t="str">
        <f t="shared" si="29"/>
        <v>Q3</v>
      </c>
      <c r="H207" t="str">
        <f t="shared" si="30"/>
        <v>Saturday</v>
      </c>
      <c r="I207" t="str">
        <f t="shared" si="31"/>
        <v>Yes</v>
      </c>
    </row>
    <row r="208" spans="1:9" x14ac:dyDescent="0.25">
      <c r="A208" s="2">
        <v>46229</v>
      </c>
      <c r="B208">
        <f t="shared" si="24"/>
        <v>2026</v>
      </c>
      <c r="C208">
        <f t="shared" si="25"/>
        <v>7</v>
      </c>
      <c r="D208" t="str">
        <f t="shared" si="26"/>
        <v>July</v>
      </c>
      <c r="E208" t="str">
        <f t="shared" si="27"/>
        <v>Jul</v>
      </c>
      <c r="F208" t="str">
        <f t="shared" si="28"/>
        <v>Jul-2026</v>
      </c>
      <c r="G208" t="str">
        <f t="shared" si="29"/>
        <v>Q3</v>
      </c>
      <c r="H208" t="str">
        <f t="shared" si="30"/>
        <v>Sunday</v>
      </c>
      <c r="I208" t="str">
        <f t="shared" si="31"/>
        <v>Yes</v>
      </c>
    </row>
    <row r="209" spans="1:9" x14ac:dyDescent="0.25">
      <c r="A209" s="2">
        <v>46230</v>
      </c>
      <c r="B209">
        <f t="shared" si="24"/>
        <v>2026</v>
      </c>
      <c r="C209">
        <f t="shared" si="25"/>
        <v>7</v>
      </c>
      <c r="D209" t="str">
        <f t="shared" si="26"/>
        <v>July</v>
      </c>
      <c r="E209" t="str">
        <f t="shared" si="27"/>
        <v>Jul</v>
      </c>
      <c r="F209" t="str">
        <f t="shared" si="28"/>
        <v>Jul-2026</v>
      </c>
      <c r="G209" t="str">
        <f t="shared" si="29"/>
        <v>Q3</v>
      </c>
      <c r="H209" t="str">
        <f t="shared" si="30"/>
        <v>Monday</v>
      </c>
      <c r="I209" t="str">
        <f t="shared" si="31"/>
        <v>No</v>
      </c>
    </row>
    <row r="210" spans="1:9" x14ac:dyDescent="0.25">
      <c r="A210" s="2">
        <v>46231</v>
      </c>
      <c r="B210">
        <f t="shared" si="24"/>
        <v>2026</v>
      </c>
      <c r="C210">
        <f t="shared" si="25"/>
        <v>7</v>
      </c>
      <c r="D210" t="str">
        <f t="shared" si="26"/>
        <v>July</v>
      </c>
      <c r="E210" t="str">
        <f t="shared" si="27"/>
        <v>Jul</v>
      </c>
      <c r="F210" t="str">
        <f t="shared" si="28"/>
        <v>Jul-2026</v>
      </c>
      <c r="G210" t="str">
        <f t="shared" si="29"/>
        <v>Q3</v>
      </c>
      <c r="H210" t="str">
        <f t="shared" si="30"/>
        <v>Tuesday</v>
      </c>
      <c r="I210" t="str">
        <f t="shared" si="31"/>
        <v>No</v>
      </c>
    </row>
    <row r="211" spans="1:9" x14ac:dyDescent="0.25">
      <c r="A211" s="2">
        <v>46232</v>
      </c>
      <c r="B211">
        <f t="shared" si="24"/>
        <v>2026</v>
      </c>
      <c r="C211">
        <f t="shared" si="25"/>
        <v>7</v>
      </c>
      <c r="D211" t="str">
        <f t="shared" si="26"/>
        <v>July</v>
      </c>
      <c r="E211" t="str">
        <f t="shared" si="27"/>
        <v>Jul</v>
      </c>
      <c r="F211" t="str">
        <f t="shared" si="28"/>
        <v>Jul-2026</v>
      </c>
      <c r="G211" t="str">
        <f t="shared" si="29"/>
        <v>Q3</v>
      </c>
      <c r="H211" t="str">
        <f t="shared" si="30"/>
        <v>Wednesday</v>
      </c>
      <c r="I211" t="str">
        <f t="shared" si="31"/>
        <v>No</v>
      </c>
    </row>
    <row r="212" spans="1:9" x14ac:dyDescent="0.25">
      <c r="A212" s="2">
        <v>46233</v>
      </c>
      <c r="B212">
        <f t="shared" si="24"/>
        <v>2026</v>
      </c>
      <c r="C212">
        <f t="shared" si="25"/>
        <v>7</v>
      </c>
      <c r="D212" t="str">
        <f t="shared" si="26"/>
        <v>July</v>
      </c>
      <c r="E212" t="str">
        <f t="shared" si="27"/>
        <v>Jul</v>
      </c>
      <c r="F212" t="str">
        <f t="shared" si="28"/>
        <v>Jul-2026</v>
      </c>
      <c r="G212" t="str">
        <f t="shared" si="29"/>
        <v>Q3</v>
      </c>
      <c r="H212" t="str">
        <f t="shared" si="30"/>
        <v>Thursday</v>
      </c>
      <c r="I212" t="str">
        <f t="shared" si="31"/>
        <v>No</v>
      </c>
    </row>
    <row r="213" spans="1:9" x14ac:dyDescent="0.25">
      <c r="A213" s="2">
        <v>46234</v>
      </c>
      <c r="B213">
        <f t="shared" si="24"/>
        <v>2026</v>
      </c>
      <c r="C213">
        <f t="shared" si="25"/>
        <v>7</v>
      </c>
      <c r="D213" t="str">
        <f t="shared" si="26"/>
        <v>July</v>
      </c>
      <c r="E213" t="str">
        <f t="shared" si="27"/>
        <v>Jul</v>
      </c>
      <c r="F213" t="str">
        <f t="shared" si="28"/>
        <v>Jul-2026</v>
      </c>
      <c r="G213" t="str">
        <f t="shared" si="29"/>
        <v>Q3</v>
      </c>
      <c r="H213" t="str">
        <f t="shared" si="30"/>
        <v>Friday</v>
      </c>
      <c r="I213" t="str">
        <f t="shared" si="31"/>
        <v>No</v>
      </c>
    </row>
    <row r="214" spans="1:9" x14ac:dyDescent="0.25">
      <c r="A214" s="2">
        <v>46235</v>
      </c>
      <c r="B214">
        <f t="shared" si="24"/>
        <v>2026</v>
      </c>
      <c r="C214">
        <f t="shared" si="25"/>
        <v>8</v>
      </c>
      <c r="D214" t="str">
        <f t="shared" si="26"/>
        <v>August</v>
      </c>
      <c r="E214" t="str">
        <f t="shared" si="27"/>
        <v>Aug</v>
      </c>
      <c r="F214" t="str">
        <f t="shared" si="28"/>
        <v>Aug-2026</v>
      </c>
      <c r="G214" t="str">
        <f t="shared" si="29"/>
        <v>Q3</v>
      </c>
      <c r="H214" t="str">
        <f t="shared" si="30"/>
        <v>Saturday</v>
      </c>
      <c r="I214" t="str">
        <f t="shared" si="31"/>
        <v>Yes</v>
      </c>
    </row>
    <row r="215" spans="1:9" x14ac:dyDescent="0.25">
      <c r="A215" s="2">
        <v>46236</v>
      </c>
      <c r="B215">
        <f t="shared" si="24"/>
        <v>2026</v>
      </c>
      <c r="C215">
        <f t="shared" si="25"/>
        <v>8</v>
      </c>
      <c r="D215" t="str">
        <f t="shared" si="26"/>
        <v>August</v>
      </c>
      <c r="E215" t="str">
        <f t="shared" si="27"/>
        <v>Aug</v>
      </c>
      <c r="F215" t="str">
        <f t="shared" si="28"/>
        <v>Aug-2026</v>
      </c>
      <c r="G215" t="str">
        <f t="shared" si="29"/>
        <v>Q3</v>
      </c>
      <c r="H215" t="str">
        <f t="shared" si="30"/>
        <v>Sunday</v>
      </c>
      <c r="I215" t="str">
        <f t="shared" si="31"/>
        <v>Yes</v>
      </c>
    </row>
    <row r="216" spans="1:9" x14ac:dyDescent="0.25">
      <c r="A216" s="2">
        <v>46237</v>
      </c>
      <c r="B216">
        <f t="shared" si="24"/>
        <v>2026</v>
      </c>
      <c r="C216">
        <f t="shared" si="25"/>
        <v>8</v>
      </c>
      <c r="D216" t="str">
        <f t="shared" si="26"/>
        <v>August</v>
      </c>
      <c r="E216" t="str">
        <f t="shared" si="27"/>
        <v>Aug</v>
      </c>
      <c r="F216" t="str">
        <f t="shared" si="28"/>
        <v>Aug-2026</v>
      </c>
      <c r="G216" t="str">
        <f t="shared" si="29"/>
        <v>Q3</v>
      </c>
      <c r="H216" t="str">
        <f t="shared" si="30"/>
        <v>Monday</v>
      </c>
      <c r="I216" t="str">
        <f t="shared" si="31"/>
        <v>No</v>
      </c>
    </row>
    <row r="217" spans="1:9" x14ac:dyDescent="0.25">
      <c r="A217" s="2">
        <v>46238</v>
      </c>
      <c r="B217">
        <f t="shared" si="24"/>
        <v>2026</v>
      </c>
      <c r="C217">
        <f t="shared" si="25"/>
        <v>8</v>
      </c>
      <c r="D217" t="str">
        <f t="shared" si="26"/>
        <v>August</v>
      </c>
      <c r="E217" t="str">
        <f t="shared" si="27"/>
        <v>Aug</v>
      </c>
      <c r="F217" t="str">
        <f t="shared" si="28"/>
        <v>Aug-2026</v>
      </c>
      <c r="G217" t="str">
        <f t="shared" si="29"/>
        <v>Q3</v>
      </c>
      <c r="H217" t="str">
        <f t="shared" si="30"/>
        <v>Tuesday</v>
      </c>
      <c r="I217" t="str">
        <f t="shared" si="31"/>
        <v>No</v>
      </c>
    </row>
    <row r="218" spans="1:9" x14ac:dyDescent="0.25">
      <c r="A218" s="2">
        <v>46239</v>
      </c>
      <c r="B218">
        <f t="shared" si="24"/>
        <v>2026</v>
      </c>
      <c r="C218">
        <f t="shared" si="25"/>
        <v>8</v>
      </c>
      <c r="D218" t="str">
        <f t="shared" si="26"/>
        <v>August</v>
      </c>
      <c r="E218" t="str">
        <f t="shared" si="27"/>
        <v>Aug</v>
      </c>
      <c r="F218" t="str">
        <f t="shared" si="28"/>
        <v>Aug-2026</v>
      </c>
      <c r="G218" t="str">
        <f t="shared" si="29"/>
        <v>Q3</v>
      </c>
      <c r="H218" t="str">
        <f t="shared" si="30"/>
        <v>Wednesday</v>
      </c>
      <c r="I218" t="str">
        <f t="shared" si="31"/>
        <v>No</v>
      </c>
    </row>
    <row r="219" spans="1:9" x14ac:dyDescent="0.25">
      <c r="A219" s="2">
        <v>46240</v>
      </c>
      <c r="B219">
        <f t="shared" si="24"/>
        <v>2026</v>
      </c>
      <c r="C219">
        <f t="shared" si="25"/>
        <v>8</v>
      </c>
      <c r="D219" t="str">
        <f t="shared" si="26"/>
        <v>August</v>
      </c>
      <c r="E219" t="str">
        <f t="shared" si="27"/>
        <v>Aug</v>
      </c>
      <c r="F219" t="str">
        <f t="shared" si="28"/>
        <v>Aug-2026</v>
      </c>
      <c r="G219" t="str">
        <f t="shared" si="29"/>
        <v>Q3</v>
      </c>
      <c r="H219" t="str">
        <f t="shared" si="30"/>
        <v>Thursday</v>
      </c>
      <c r="I219" t="str">
        <f t="shared" si="31"/>
        <v>No</v>
      </c>
    </row>
    <row r="220" spans="1:9" x14ac:dyDescent="0.25">
      <c r="A220" s="2">
        <v>46241</v>
      </c>
      <c r="B220">
        <f t="shared" si="24"/>
        <v>2026</v>
      </c>
      <c r="C220">
        <f t="shared" si="25"/>
        <v>8</v>
      </c>
      <c r="D220" t="str">
        <f t="shared" si="26"/>
        <v>August</v>
      </c>
      <c r="E220" t="str">
        <f t="shared" si="27"/>
        <v>Aug</v>
      </c>
      <c r="F220" t="str">
        <f t="shared" si="28"/>
        <v>Aug-2026</v>
      </c>
      <c r="G220" t="str">
        <f t="shared" si="29"/>
        <v>Q3</v>
      </c>
      <c r="H220" t="str">
        <f t="shared" si="30"/>
        <v>Friday</v>
      </c>
      <c r="I220" t="str">
        <f t="shared" si="31"/>
        <v>No</v>
      </c>
    </row>
    <row r="221" spans="1:9" x14ac:dyDescent="0.25">
      <c r="A221" s="2">
        <v>46242</v>
      </c>
      <c r="B221">
        <f t="shared" si="24"/>
        <v>2026</v>
      </c>
      <c r="C221">
        <f t="shared" si="25"/>
        <v>8</v>
      </c>
      <c r="D221" t="str">
        <f t="shared" si="26"/>
        <v>August</v>
      </c>
      <c r="E221" t="str">
        <f t="shared" si="27"/>
        <v>Aug</v>
      </c>
      <c r="F221" t="str">
        <f t="shared" si="28"/>
        <v>Aug-2026</v>
      </c>
      <c r="G221" t="str">
        <f t="shared" si="29"/>
        <v>Q3</v>
      </c>
      <c r="H221" t="str">
        <f t="shared" si="30"/>
        <v>Saturday</v>
      </c>
      <c r="I221" t="str">
        <f t="shared" si="31"/>
        <v>Yes</v>
      </c>
    </row>
    <row r="222" spans="1:9" x14ac:dyDescent="0.25">
      <c r="A222" s="2">
        <v>46243</v>
      </c>
      <c r="B222">
        <f t="shared" si="24"/>
        <v>2026</v>
      </c>
      <c r="C222">
        <f t="shared" si="25"/>
        <v>8</v>
      </c>
      <c r="D222" t="str">
        <f t="shared" si="26"/>
        <v>August</v>
      </c>
      <c r="E222" t="str">
        <f t="shared" si="27"/>
        <v>Aug</v>
      </c>
      <c r="F222" t="str">
        <f t="shared" si="28"/>
        <v>Aug-2026</v>
      </c>
      <c r="G222" t="str">
        <f t="shared" si="29"/>
        <v>Q3</v>
      </c>
      <c r="H222" t="str">
        <f t="shared" si="30"/>
        <v>Sunday</v>
      </c>
      <c r="I222" t="str">
        <f t="shared" si="31"/>
        <v>Yes</v>
      </c>
    </row>
    <row r="223" spans="1:9" x14ac:dyDescent="0.25">
      <c r="A223" s="2">
        <v>46244</v>
      </c>
      <c r="B223">
        <f t="shared" si="24"/>
        <v>2026</v>
      </c>
      <c r="C223">
        <f t="shared" si="25"/>
        <v>8</v>
      </c>
      <c r="D223" t="str">
        <f t="shared" si="26"/>
        <v>August</v>
      </c>
      <c r="E223" t="str">
        <f t="shared" si="27"/>
        <v>Aug</v>
      </c>
      <c r="F223" t="str">
        <f t="shared" si="28"/>
        <v>Aug-2026</v>
      </c>
      <c r="G223" t="str">
        <f t="shared" si="29"/>
        <v>Q3</v>
      </c>
      <c r="H223" t="str">
        <f t="shared" si="30"/>
        <v>Monday</v>
      </c>
      <c r="I223" t="str">
        <f t="shared" si="31"/>
        <v>No</v>
      </c>
    </row>
    <row r="224" spans="1:9" x14ac:dyDescent="0.25">
      <c r="A224" s="2">
        <v>46245</v>
      </c>
      <c r="B224">
        <f t="shared" si="24"/>
        <v>2026</v>
      </c>
      <c r="C224">
        <f t="shared" si="25"/>
        <v>8</v>
      </c>
      <c r="D224" t="str">
        <f t="shared" si="26"/>
        <v>August</v>
      </c>
      <c r="E224" t="str">
        <f t="shared" si="27"/>
        <v>Aug</v>
      </c>
      <c r="F224" t="str">
        <f t="shared" si="28"/>
        <v>Aug-2026</v>
      </c>
      <c r="G224" t="str">
        <f t="shared" si="29"/>
        <v>Q3</v>
      </c>
      <c r="H224" t="str">
        <f t="shared" si="30"/>
        <v>Tuesday</v>
      </c>
      <c r="I224" t="str">
        <f t="shared" si="31"/>
        <v>No</v>
      </c>
    </row>
    <row r="225" spans="1:9" x14ac:dyDescent="0.25">
      <c r="A225" s="2">
        <v>46246</v>
      </c>
      <c r="B225">
        <f t="shared" si="24"/>
        <v>2026</v>
      </c>
      <c r="C225">
        <f t="shared" si="25"/>
        <v>8</v>
      </c>
      <c r="D225" t="str">
        <f t="shared" si="26"/>
        <v>August</v>
      </c>
      <c r="E225" t="str">
        <f t="shared" si="27"/>
        <v>Aug</v>
      </c>
      <c r="F225" t="str">
        <f t="shared" si="28"/>
        <v>Aug-2026</v>
      </c>
      <c r="G225" t="str">
        <f t="shared" si="29"/>
        <v>Q3</v>
      </c>
      <c r="H225" t="str">
        <f t="shared" si="30"/>
        <v>Wednesday</v>
      </c>
      <c r="I225" t="str">
        <f t="shared" si="31"/>
        <v>No</v>
      </c>
    </row>
    <row r="226" spans="1:9" x14ac:dyDescent="0.25">
      <c r="A226" s="2">
        <v>46247</v>
      </c>
      <c r="B226">
        <f t="shared" si="24"/>
        <v>2026</v>
      </c>
      <c r="C226">
        <f t="shared" si="25"/>
        <v>8</v>
      </c>
      <c r="D226" t="str">
        <f t="shared" si="26"/>
        <v>August</v>
      </c>
      <c r="E226" t="str">
        <f t="shared" si="27"/>
        <v>Aug</v>
      </c>
      <c r="F226" t="str">
        <f t="shared" si="28"/>
        <v>Aug-2026</v>
      </c>
      <c r="G226" t="str">
        <f t="shared" si="29"/>
        <v>Q3</v>
      </c>
      <c r="H226" t="str">
        <f t="shared" si="30"/>
        <v>Thursday</v>
      </c>
      <c r="I226" t="str">
        <f t="shared" si="31"/>
        <v>No</v>
      </c>
    </row>
    <row r="227" spans="1:9" x14ac:dyDescent="0.25">
      <c r="A227" s="2">
        <v>46248</v>
      </c>
      <c r="B227">
        <f t="shared" si="24"/>
        <v>2026</v>
      </c>
      <c r="C227">
        <f t="shared" si="25"/>
        <v>8</v>
      </c>
      <c r="D227" t="str">
        <f t="shared" si="26"/>
        <v>August</v>
      </c>
      <c r="E227" t="str">
        <f t="shared" si="27"/>
        <v>Aug</v>
      </c>
      <c r="F227" t="str">
        <f t="shared" si="28"/>
        <v>Aug-2026</v>
      </c>
      <c r="G227" t="str">
        <f t="shared" si="29"/>
        <v>Q3</v>
      </c>
      <c r="H227" t="str">
        <f t="shared" si="30"/>
        <v>Friday</v>
      </c>
      <c r="I227" t="str">
        <f t="shared" si="31"/>
        <v>No</v>
      </c>
    </row>
    <row r="228" spans="1:9" x14ac:dyDescent="0.25">
      <c r="A228" s="2">
        <v>46249</v>
      </c>
      <c r="B228">
        <f t="shared" si="24"/>
        <v>2026</v>
      </c>
      <c r="C228">
        <f t="shared" si="25"/>
        <v>8</v>
      </c>
      <c r="D228" t="str">
        <f t="shared" si="26"/>
        <v>August</v>
      </c>
      <c r="E228" t="str">
        <f t="shared" si="27"/>
        <v>Aug</v>
      </c>
      <c r="F228" t="str">
        <f t="shared" si="28"/>
        <v>Aug-2026</v>
      </c>
      <c r="G228" t="str">
        <f t="shared" si="29"/>
        <v>Q3</v>
      </c>
      <c r="H228" t="str">
        <f t="shared" si="30"/>
        <v>Saturday</v>
      </c>
      <c r="I228" t="str">
        <f t="shared" si="31"/>
        <v>Yes</v>
      </c>
    </row>
    <row r="229" spans="1:9" x14ac:dyDescent="0.25">
      <c r="A229" s="2">
        <v>46250</v>
      </c>
      <c r="B229">
        <f t="shared" si="24"/>
        <v>2026</v>
      </c>
      <c r="C229">
        <f t="shared" si="25"/>
        <v>8</v>
      </c>
      <c r="D229" t="str">
        <f t="shared" si="26"/>
        <v>August</v>
      </c>
      <c r="E229" t="str">
        <f t="shared" si="27"/>
        <v>Aug</v>
      </c>
      <c r="F229" t="str">
        <f t="shared" si="28"/>
        <v>Aug-2026</v>
      </c>
      <c r="G229" t="str">
        <f t="shared" si="29"/>
        <v>Q3</v>
      </c>
      <c r="H229" t="str">
        <f t="shared" si="30"/>
        <v>Sunday</v>
      </c>
      <c r="I229" t="str">
        <f t="shared" si="31"/>
        <v>Yes</v>
      </c>
    </row>
    <row r="230" spans="1:9" x14ac:dyDescent="0.25">
      <c r="A230" s="2">
        <v>46251</v>
      </c>
      <c r="B230">
        <f t="shared" si="24"/>
        <v>2026</v>
      </c>
      <c r="C230">
        <f t="shared" si="25"/>
        <v>8</v>
      </c>
      <c r="D230" t="str">
        <f t="shared" si="26"/>
        <v>August</v>
      </c>
      <c r="E230" t="str">
        <f t="shared" si="27"/>
        <v>Aug</v>
      </c>
      <c r="F230" t="str">
        <f t="shared" si="28"/>
        <v>Aug-2026</v>
      </c>
      <c r="G230" t="str">
        <f t="shared" si="29"/>
        <v>Q3</v>
      </c>
      <c r="H230" t="str">
        <f t="shared" si="30"/>
        <v>Monday</v>
      </c>
      <c r="I230" t="str">
        <f t="shared" si="31"/>
        <v>No</v>
      </c>
    </row>
    <row r="231" spans="1:9" x14ac:dyDescent="0.25">
      <c r="A231" s="2">
        <v>46252</v>
      </c>
      <c r="B231">
        <f t="shared" si="24"/>
        <v>2026</v>
      </c>
      <c r="C231">
        <f t="shared" si="25"/>
        <v>8</v>
      </c>
      <c r="D231" t="str">
        <f t="shared" si="26"/>
        <v>August</v>
      </c>
      <c r="E231" t="str">
        <f t="shared" si="27"/>
        <v>Aug</v>
      </c>
      <c r="F231" t="str">
        <f t="shared" si="28"/>
        <v>Aug-2026</v>
      </c>
      <c r="G231" t="str">
        <f t="shared" si="29"/>
        <v>Q3</v>
      </c>
      <c r="H231" t="str">
        <f t="shared" si="30"/>
        <v>Tuesday</v>
      </c>
      <c r="I231" t="str">
        <f t="shared" si="31"/>
        <v>No</v>
      </c>
    </row>
    <row r="232" spans="1:9" x14ac:dyDescent="0.25">
      <c r="A232" s="2">
        <v>46253</v>
      </c>
      <c r="B232">
        <f t="shared" si="24"/>
        <v>2026</v>
      </c>
      <c r="C232">
        <f t="shared" si="25"/>
        <v>8</v>
      </c>
      <c r="D232" t="str">
        <f t="shared" si="26"/>
        <v>August</v>
      </c>
      <c r="E232" t="str">
        <f t="shared" si="27"/>
        <v>Aug</v>
      </c>
      <c r="F232" t="str">
        <f t="shared" si="28"/>
        <v>Aug-2026</v>
      </c>
      <c r="G232" t="str">
        <f t="shared" si="29"/>
        <v>Q3</v>
      </c>
      <c r="H232" t="str">
        <f t="shared" si="30"/>
        <v>Wednesday</v>
      </c>
      <c r="I232" t="str">
        <f t="shared" si="31"/>
        <v>No</v>
      </c>
    </row>
    <row r="233" spans="1:9" x14ac:dyDescent="0.25">
      <c r="A233" s="2">
        <v>46254</v>
      </c>
      <c r="B233">
        <f t="shared" si="24"/>
        <v>2026</v>
      </c>
      <c r="C233">
        <f t="shared" si="25"/>
        <v>8</v>
      </c>
      <c r="D233" t="str">
        <f t="shared" si="26"/>
        <v>August</v>
      </c>
      <c r="E233" t="str">
        <f t="shared" si="27"/>
        <v>Aug</v>
      </c>
      <c r="F233" t="str">
        <f t="shared" si="28"/>
        <v>Aug-2026</v>
      </c>
      <c r="G233" t="str">
        <f t="shared" si="29"/>
        <v>Q3</v>
      </c>
      <c r="H233" t="str">
        <f t="shared" si="30"/>
        <v>Thursday</v>
      </c>
      <c r="I233" t="str">
        <f t="shared" si="31"/>
        <v>No</v>
      </c>
    </row>
    <row r="234" spans="1:9" x14ac:dyDescent="0.25">
      <c r="A234" s="2">
        <v>46255</v>
      </c>
      <c r="B234">
        <f t="shared" si="24"/>
        <v>2026</v>
      </c>
      <c r="C234">
        <f t="shared" si="25"/>
        <v>8</v>
      </c>
      <c r="D234" t="str">
        <f t="shared" si="26"/>
        <v>August</v>
      </c>
      <c r="E234" t="str">
        <f t="shared" si="27"/>
        <v>Aug</v>
      </c>
      <c r="F234" t="str">
        <f t="shared" si="28"/>
        <v>Aug-2026</v>
      </c>
      <c r="G234" t="str">
        <f t="shared" si="29"/>
        <v>Q3</v>
      </c>
      <c r="H234" t="str">
        <f t="shared" si="30"/>
        <v>Friday</v>
      </c>
      <c r="I234" t="str">
        <f t="shared" si="31"/>
        <v>No</v>
      </c>
    </row>
    <row r="235" spans="1:9" x14ac:dyDescent="0.25">
      <c r="A235" s="2">
        <v>46256</v>
      </c>
      <c r="B235">
        <f t="shared" si="24"/>
        <v>2026</v>
      </c>
      <c r="C235">
        <f t="shared" si="25"/>
        <v>8</v>
      </c>
      <c r="D235" t="str">
        <f t="shared" si="26"/>
        <v>August</v>
      </c>
      <c r="E235" t="str">
        <f t="shared" si="27"/>
        <v>Aug</v>
      </c>
      <c r="F235" t="str">
        <f t="shared" si="28"/>
        <v>Aug-2026</v>
      </c>
      <c r="G235" t="str">
        <f t="shared" si="29"/>
        <v>Q3</v>
      </c>
      <c r="H235" t="str">
        <f t="shared" si="30"/>
        <v>Saturday</v>
      </c>
      <c r="I235" t="str">
        <f t="shared" si="31"/>
        <v>Yes</v>
      </c>
    </row>
    <row r="236" spans="1:9" x14ac:dyDescent="0.25">
      <c r="A236" s="2">
        <v>46257</v>
      </c>
      <c r="B236">
        <f t="shared" si="24"/>
        <v>2026</v>
      </c>
      <c r="C236">
        <f t="shared" si="25"/>
        <v>8</v>
      </c>
      <c r="D236" t="str">
        <f t="shared" si="26"/>
        <v>August</v>
      </c>
      <c r="E236" t="str">
        <f t="shared" si="27"/>
        <v>Aug</v>
      </c>
      <c r="F236" t="str">
        <f t="shared" si="28"/>
        <v>Aug-2026</v>
      </c>
      <c r="G236" t="str">
        <f t="shared" si="29"/>
        <v>Q3</v>
      </c>
      <c r="H236" t="str">
        <f t="shared" si="30"/>
        <v>Sunday</v>
      </c>
      <c r="I236" t="str">
        <f t="shared" si="31"/>
        <v>Yes</v>
      </c>
    </row>
    <row r="237" spans="1:9" x14ac:dyDescent="0.25">
      <c r="A237" s="2">
        <v>46258</v>
      </c>
      <c r="B237">
        <f t="shared" si="24"/>
        <v>2026</v>
      </c>
      <c r="C237">
        <f t="shared" si="25"/>
        <v>8</v>
      </c>
      <c r="D237" t="str">
        <f t="shared" si="26"/>
        <v>August</v>
      </c>
      <c r="E237" t="str">
        <f t="shared" si="27"/>
        <v>Aug</v>
      </c>
      <c r="F237" t="str">
        <f t="shared" si="28"/>
        <v>Aug-2026</v>
      </c>
      <c r="G237" t="str">
        <f t="shared" si="29"/>
        <v>Q3</v>
      </c>
      <c r="H237" t="str">
        <f t="shared" si="30"/>
        <v>Monday</v>
      </c>
      <c r="I237" t="str">
        <f t="shared" si="31"/>
        <v>No</v>
      </c>
    </row>
    <row r="238" spans="1:9" x14ac:dyDescent="0.25">
      <c r="A238" s="2">
        <v>46259</v>
      </c>
      <c r="B238">
        <f t="shared" si="24"/>
        <v>2026</v>
      </c>
      <c r="C238">
        <f t="shared" si="25"/>
        <v>8</v>
      </c>
      <c r="D238" t="str">
        <f t="shared" si="26"/>
        <v>August</v>
      </c>
      <c r="E238" t="str">
        <f t="shared" si="27"/>
        <v>Aug</v>
      </c>
      <c r="F238" t="str">
        <f t="shared" si="28"/>
        <v>Aug-2026</v>
      </c>
      <c r="G238" t="str">
        <f t="shared" si="29"/>
        <v>Q3</v>
      </c>
      <c r="H238" t="str">
        <f t="shared" si="30"/>
        <v>Tuesday</v>
      </c>
      <c r="I238" t="str">
        <f t="shared" si="31"/>
        <v>No</v>
      </c>
    </row>
    <row r="239" spans="1:9" x14ac:dyDescent="0.25">
      <c r="A239" s="2">
        <v>46260</v>
      </c>
      <c r="B239">
        <f t="shared" si="24"/>
        <v>2026</v>
      </c>
      <c r="C239">
        <f t="shared" si="25"/>
        <v>8</v>
      </c>
      <c r="D239" t="str">
        <f t="shared" si="26"/>
        <v>August</v>
      </c>
      <c r="E239" t="str">
        <f t="shared" si="27"/>
        <v>Aug</v>
      </c>
      <c r="F239" t="str">
        <f t="shared" si="28"/>
        <v>Aug-2026</v>
      </c>
      <c r="G239" t="str">
        <f t="shared" si="29"/>
        <v>Q3</v>
      </c>
      <c r="H239" t="str">
        <f t="shared" si="30"/>
        <v>Wednesday</v>
      </c>
      <c r="I239" t="str">
        <f t="shared" si="31"/>
        <v>No</v>
      </c>
    </row>
    <row r="240" spans="1:9" x14ac:dyDescent="0.25">
      <c r="A240" s="2">
        <v>46261</v>
      </c>
      <c r="B240">
        <f t="shared" si="24"/>
        <v>2026</v>
      </c>
      <c r="C240">
        <f t="shared" si="25"/>
        <v>8</v>
      </c>
      <c r="D240" t="str">
        <f t="shared" si="26"/>
        <v>August</v>
      </c>
      <c r="E240" t="str">
        <f t="shared" si="27"/>
        <v>Aug</v>
      </c>
      <c r="F240" t="str">
        <f t="shared" si="28"/>
        <v>Aug-2026</v>
      </c>
      <c r="G240" t="str">
        <f t="shared" si="29"/>
        <v>Q3</v>
      </c>
      <c r="H240" t="str">
        <f t="shared" si="30"/>
        <v>Thursday</v>
      </c>
      <c r="I240" t="str">
        <f t="shared" si="31"/>
        <v>No</v>
      </c>
    </row>
    <row r="241" spans="1:9" x14ac:dyDescent="0.25">
      <c r="A241" s="2">
        <v>46262</v>
      </c>
      <c r="B241">
        <f t="shared" si="24"/>
        <v>2026</v>
      </c>
      <c r="C241">
        <f t="shared" si="25"/>
        <v>8</v>
      </c>
      <c r="D241" t="str">
        <f t="shared" si="26"/>
        <v>August</v>
      </c>
      <c r="E241" t="str">
        <f t="shared" si="27"/>
        <v>Aug</v>
      </c>
      <c r="F241" t="str">
        <f t="shared" si="28"/>
        <v>Aug-2026</v>
      </c>
      <c r="G241" t="str">
        <f t="shared" si="29"/>
        <v>Q3</v>
      </c>
      <c r="H241" t="str">
        <f t="shared" si="30"/>
        <v>Friday</v>
      </c>
      <c r="I241" t="str">
        <f t="shared" si="31"/>
        <v>No</v>
      </c>
    </row>
    <row r="242" spans="1:9" x14ac:dyDescent="0.25">
      <c r="A242" s="2">
        <v>46263</v>
      </c>
      <c r="B242">
        <f t="shared" si="24"/>
        <v>2026</v>
      </c>
      <c r="C242">
        <f t="shared" si="25"/>
        <v>8</v>
      </c>
      <c r="D242" t="str">
        <f t="shared" si="26"/>
        <v>August</v>
      </c>
      <c r="E242" t="str">
        <f t="shared" si="27"/>
        <v>Aug</v>
      </c>
      <c r="F242" t="str">
        <f t="shared" si="28"/>
        <v>Aug-2026</v>
      </c>
      <c r="G242" t="str">
        <f t="shared" si="29"/>
        <v>Q3</v>
      </c>
      <c r="H242" t="str">
        <f t="shared" si="30"/>
        <v>Saturday</v>
      </c>
      <c r="I242" t="str">
        <f t="shared" si="31"/>
        <v>Yes</v>
      </c>
    </row>
    <row r="243" spans="1:9" x14ac:dyDescent="0.25">
      <c r="A243" s="2">
        <v>46264</v>
      </c>
      <c r="B243">
        <f t="shared" si="24"/>
        <v>2026</v>
      </c>
      <c r="C243">
        <f t="shared" si="25"/>
        <v>8</v>
      </c>
      <c r="D243" t="str">
        <f t="shared" si="26"/>
        <v>August</v>
      </c>
      <c r="E243" t="str">
        <f t="shared" si="27"/>
        <v>Aug</v>
      </c>
      <c r="F243" t="str">
        <f t="shared" si="28"/>
        <v>Aug-2026</v>
      </c>
      <c r="G243" t="str">
        <f t="shared" si="29"/>
        <v>Q3</v>
      </c>
      <c r="H243" t="str">
        <f t="shared" si="30"/>
        <v>Sunday</v>
      </c>
      <c r="I243" t="str">
        <f t="shared" si="31"/>
        <v>Yes</v>
      </c>
    </row>
    <row r="244" spans="1:9" x14ac:dyDescent="0.25">
      <c r="A244" s="2">
        <v>46265</v>
      </c>
      <c r="B244">
        <f t="shared" si="24"/>
        <v>2026</v>
      </c>
      <c r="C244">
        <f t="shared" si="25"/>
        <v>8</v>
      </c>
      <c r="D244" t="str">
        <f t="shared" si="26"/>
        <v>August</v>
      </c>
      <c r="E244" t="str">
        <f t="shared" si="27"/>
        <v>Aug</v>
      </c>
      <c r="F244" t="str">
        <f t="shared" si="28"/>
        <v>Aug-2026</v>
      </c>
      <c r="G244" t="str">
        <f t="shared" si="29"/>
        <v>Q3</v>
      </c>
      <c r="H244" t="str">
        <f t="shared" si="30"/>
        <v>Monday</v>
      </c>
      <c r="I244" t="str">
        <f t="shared" si="31"/>
        <v>No</v>
      </c>
    </row>
    <row r="245" spans="1:9" x14ac:dyDescent="0.25">
      <c r="A245" s="2">
        <v>46266</v>
      </c>
      <c r="B245">
        <f t="shared" si="24"/>
        <v>2026</v>
      </c>
      <c r="C245">
        <f t="shared" si="25"/>
        <v>9</v>
      </c>
      <c r="D245" t="str">
        <f t="shared" si="26"/>
        <v>September</v>
      </c>
      <c r="E245" t="str">
        <f t="shared" si="27"/>
        <v>Sep</v>
      </c>
      <c r="F245" t="str">
        <f t="shared" si="28"/>
        <v>Sep-2026</v>
      </c>
      <c r="G245" t="str">
        <f t="shared" si="29"/>
        <v>Q3</v>
      </c>
      <c r="H245" t="str">
        <f t="shared" si="30"/>
        <v>Tuesday</v>
      </c>
      <c r="I245" t="str">
        <f t="shared" si="31"/>
        <v>No</v>
      </c>
    </row>
    <row r="246" spans="1:9" x14ac:dyDescent="0.25">
      <c r="A246" s="2">
        <v>46267</v>
      </c>
      <c r="B246">
        <f t="shared" si="24"/>
        <v>2026</v>
      </c>
      <c r="C246">
        <f t="shared" si="25"/>
        <v>9</v>
      </c>
      <c r="D246" t="str">
        <f t="shared" si="26"/>
        <v>September</v>
      </c>
      <c r="E246" t="str">
        <f t="shared" si="27"/>
        <v>Sep</v>
      </c>
      <c r="F246" t="str">
        <f t="shared" si="28"/>
        <v>Sep-2026</v>
      </c>
      <c r="G246" t="str">
        <f t="shared" si="29"/>
        <v>Q3</v>
      </c>
      <c r="H246" t="str">
        <f t="shared" si="30"/>
        <v>Wednesday</v>
      </c>
      <c r="I246" t="str">
        <f t="shared" si="31"/>
        <v>No</v>
      </c>
    </row>
    <row r="247" spans="1:9" x14ac:dyDescent="0.25">
      <c r="A247" s="2">
        <v>46268</v>
      </c>
      <c r="B247">
        <f t="shared" si="24"/>
        <v>2026</v>
      </c>
      <c r="C247">
        <f t="shared" si="25"/>
        <v>9</v>
      </c>
      <c r="D247" t="str">
        <f t="shared" si="26"/>
        <v>September</v>
      </c>
      <c r="E247" t="str">
        <f t="shared" si="27"/>
        <v>Sep</v>
      </c>
      <c r="F247" t="str">
        <f t="shared" si="28"/>
        <v>Sep-2026</v>
      </c>
      <c r="G247" t="str">
        <f t="shared" si="29"/>
        <v>Q3</v>
      </c>
      <c r="H247" t="str">
        <f t="shared" si="30"/>
        <v>Thursday</v>
      </c>
      <c r="I247" t="str">
        <f t="shared" si="31"/>
        <v>No</v>
      </c>
    </row>
    <row r="248" spans="1:9" x14ac:dyDescent="0.25">
      <c r="A248" s="2">
        <v>46269</v>
      </c>
      <c r="B248">
        <f t="shared" si="24"/>
        <v>2026</v>
      </c>
      <c r="C248">
        <f t="shared" si="25"/>
        <v>9</v>
      </c>
      <c r="D248" t="str">
        <f t="shared" si="26"/>
        <v>September</v>
      </c>
      <c r="E248" t="str">
        <f t="shared" si="27"/>
        <v>Sep</v>
      </c>
      <c r="F248" t="str">
        <f t="shared" si="28"/>
        <v>Sep-2026</v>
      </c>
      <c r="G248" t="str">
        <f t="shared" si="29"/>
        <v>Q3</v>
      </c>
      <c r="H248" t="str">
        <f t="shared" si="30"/>
        <v>Friday</v>
      </c>
      <c r="I248" t="str">
        <f t="shared" si="31"/>
        <v>No</v>
      </c>
    </row>
    <row r="249" spans="1:9" x14ac:dyDescent="0.25">
      <c r="A249" s="2">
        <v>46270</v>
      </c>
      <c r="B249">
        <f t="shared" si="24"/>
        <v>2026</v>
      </c>
      <c r="C249">
        <f t="shared" si="25"/>
        <v>9</v>
      </c>
      <c r="D249" t="str">
        <f t="shared" si="26"/>
        <v>September</v>
      </c>
      <c r="E249" t="str">
        <f t="shared" si="27"/>
        <v>Sep</v>
      </c>
      <c r="F249" t="str">
        <f t="shared" si="28"/>
        <v>Sep-2026</v>
      </c>
      <c r="G249" t="str">
        <f t="shared" si="29"/>
        <v>Q3</v>
      </c>
      <c r="H249" t="str">
        <f t="shared" si="30"/>
        <v>Saturday</v>
      </c>
      <c r="I249" t="str">
        <f t="shared" si="31"/>
        <v>Yes</v>
      </c>
    </row>
    <row r="250" spans="1:9" x14ac:dyDescent="0.25">
      <c r="A250" s="2">
        <v>46271</v>
      </c>
      <c r="B250">
        <f t="shared" si="24"/>
        <v>2026</v>
      </c>
      <c r="C250">
        <f t="shared" si="25"/>
        <v>9</v>
      </c>
      <c r="D250" t="str">
        <f t="shared" si="26"/>
        <v>September</v>
      </c>
      <c r="E250" t="str">
        <f t="shared" si="27"/>
        <v>Sep</v>
      </c>
      <c r="F250" t="str">
        <f t="shared" si="28"/>
        <v>Sep-2026</v>
      </c>
      <c r="G250" t="str">
        <f t="shared" si="29"/>
        <v>Q3</v>
      </c>
      <c r="H250" t="str">
        <f t="shared" si="30"/>
        <v>Sunday</v>
      </c>
      <c r="I250" t="str">
        <f t="shared" si="31"/>
        <v>Yes</v>
      </c>
    </row>
    <row r="251" spans="1:9" x14ac:dyDescent="0.25">
      <c r="A251" s="2">
        <v>46272</v>
      </c>
      <c r="B251">
        <f t="shared" si="24"/>
        <v>2026</v>
      </c>
      <c r="C251">
        <f t="shared" si="25"/>
        <v>9</v>
      </c>
      <c r="D251" t="str">
        <f t="shared" si="26"/>
        <v>September</v>
      </c>
      <c r="E251" t="str">
        <f t="shared" si="27"/>
        <v>Sep</v>
      </c>
      <c r="F251" t="str">
        <f t="shared" si="28"/>
        <v>Sep-2026</v>
      </c>
      <c r="G251" t="str">
        <f t="shared" si="29"/>
        <v>Q3</v>
      </c>
      <c r="H251" t="str">
        <f t="shared" si="30"/>
        <v>Monday</v>
      </c>
      <c r="I251" t="str">
        <f t="shared" si="31"/>
        <v>No</v>
      </c>
    </row>
    <row r="252" spans="1:9" x14ac:dyDescent="0.25">
      <c r="A252" s="2">
        <v>46273</v>
      </c>
      <c r="B252">
        <f t="shared" si="24"/>
        <v>2026</v>
      </c>
      <c r="C252">
        <f t="shared" si="25"/>
        <v>9</v>
      </c>
      <c r="D252" t="str">
        <f t="shared" si="26"/>
        <v>September</v>
      </c>
      <c r="E252" t="str">
        <f t="shared" si="27"/>
        <v>Sep</v>
      </c>
      <c r="F252" t="str">
        <f t="shared" si="28"/>
        <v>Sep-2026</v>
      </c>
      <c r="G252" t="str">
        <f t="shared" si="29"/>
        <v>Q3</v>
      </c>
      <c r="H252" t="str">
        <f t="shared" si="30"/>
        <v>Tuesday</v>
      </c>
      <c r="I252" t="str">
        <f t="shared" si="31"/>
        <v>No</v>
      </c>
    </row>
    <row r="253" spans="1:9" x14ac:dyDescent="0.25">
      <c r="A253" s="2">
        <v>46274</v>
      </c>
      <c r="B253">
        <f t="shared" si="24"/>
        <v>2026</v>
      </c>
      <c r="C253">
        <f t="shared" si="25"/>
        <v>9</v>
      </c>
      <c r="D253" t="str">
        <f t="shared" si="26"/>
        <v>September</v>
      </c>
      <c r="E253" t="str">
        <f t="shared" si="27"/>
        <v>Sep</v>
      </c>
      <c r="F253" t="str">
        <f t="shared" si="28"/>
        <v>Sep-2026</v>
      </c>
      <c r="G253" t="str">
        <f t="shared" si="29"/>
        <v>Q3</v>
      </c>
      <c r="H253" t="str">
        <f t="shared" si="30"/>
        <v>Wednesday</v>
      </c>
      <c r="I253" t="str">
        <f t="shared" si="31"/>
        <v>No</v>
      </c>
    </row>
    <row r="254" spans="1:9" x14ac:dyDescent="0.25">
      <c r="A254" s="2">
        <v>46275</v>
      </c>
      <c r="B254">
        <f t="shared" si="24"/>
        <v>2026</v>
      </c>
      <c r="C254">
        <f t="shared" si="25"/>
        <v>9</v>
      </c>
      <c r="D254" t="str">
        <f t="shared" si="26"/>
        <v>September</v>
      </c>
      <c r="E254" t="str">
        <f t="shared" si="27"/>
        <v>Sep</v>
      </c>
      <c r="F254" t="str">
        <f t="shared" si="28"/>
        <v>Sep-2026</v>
      </c>
      <c r="G254" t="str">
        <f t="shared" si="29"/>
        <v>Q3</v>
      </c>
      <c r="H254" t="str">
        <f t="shared" si="30"/>
        <v>Thursday</v>
      </c>
      <c r="I254" t="str">
        <f t="shared" si="31"/>
        <v>No</v>
      </c>
    </row>
    <row r="255" spans="1:9" x14ac:dyDescent="0.25">
      <c r="A255" s="2">
        <v>46276</v>
      </c>
      <c r="B255">
        <f t="shared" si="24"/>
        <v>2026</v>
      </c>
      <c r="C255">
        <f t="shared" si="25"/>
        <v>9</v>
      </c>
      <c r="D255" t="str">
        <f t="shared" si="26"/>
        <v>September</v>
      </c>
      <c r="E255" t="str">
        <f t="shared" si="27"/>
        <v>Sep</v>
      </c>
      <c r="F255" t="str">
        <f t="shared" si="28"/>
        <v>Sep-2026</v>
      </c>
      <c r="G255" t="str">
        <f t="shared" si="29"/>
        <v>Q3</v>
      </c>
      <c r="H255" t="str">
        <f t="shared" si="30"/>
        <v>Friday</v>
      </c>
      <c r="I255" t="str">
        <f t="shared" si="31"/>
        <v>No</v>
      </c>
    </row>
    <row r="256" spans="1:9" x14ac:dyDescent="0.25">
      <c r="A256" s="2">
        <v>46277</v>
      </c>
      <c r="B256">
        <f t="shared" si="24"/>
        <v>2026</v>
      </c>
      <c r="C256">
        <f t="shared" si="25"/>
        <v>9</v>
      </c>
      <c r="D256" t="str">
        <f t="shared" si="26"/>
        <v>September</v>
      </c>
      <c r="E256" t="str">
        <f t="shared" si="27"/>
        <v>Sep</v>
      </c>
      <c r="F256" t="str">
        <f t="shared" si="28"/>
        <v>Sep-2026</v>
      </c>
      <c r="G256" t="str">
        <f t="shared" si="29"/>
        <v>Q3</v>
      </c>
      <c r="H256" t="str">
        <f t="shared" si="30"/>
        <v>Saturday</v>
      </c>
      <c r="I256" t="str">
        <f t="shared" si="31"/>
        <v>Yes</v>
      </c>
    </row>
    <row r="257" spans="1:9" x14ac:dyDescent="0.25">
      <c r="A257" s="2">
        <v>46278</v>
      </c>
      <c r="B257">
        <f t="shared" si="24"/>
        <v>2026</v>
      </c>
      <c r="C257">
        <f t="shared" si="25"/>
        <v>9</v>
      </c>
      <c r="D257" t="str">
        <f t="shared" si="26"/>
        <v>September</v>
      </c>
      <c r="E257" t="str">
        <f t="shared" si="27"/>
        <v>Sep</v>
      </c>
      <c r="F257" t="str">
        <f t="shared" si="28"/>
        <v>Sep-2026</v>
      </c>
      <c r="G257" t="str">
        <f t="shared" si="29"/>
        <v>Q3</v>
      </c>
      <c r="H257" t="str">
        <f t="shared" si="30"/>
        <v>Sunday</v>
      </c>
      <c r="I257" t="str">
        <f t="shared" si="31"/>
        <v>Yes</v>
      </c>
    </row>
    <row r="258" spans="1:9" x14ac:dyDescent="0.25">
      <c r="A258" s="2">
        <v>46279</v>
      </c>
      <c r="B258">
        <f t="shared" ref="B258:B321" si="32">YEAR(A258)</f>
        <v>2026</v>
      </c>
      <c r="C258">
        <f t="shared" ref="C258:C321" si="33">MONTH(A258)</f>
        <v>9</v>
      </c>
      <c r="D258" t="str">
        <f t="shared" ref="D258:D321" si="34">TEXT(A258,"mmmm")</f>
        <v>September</v>
      </c>
      <c r="E258" t="str">
        <f t="shared" ref="E258:E321" si="35">TEXT(A258,"mmm")</f>
        <v>Sep</v>
      </c>
      <c r="F258" t="str">
        <f t="shared" ref="F258:F321" si="36">TEXT(A258,"mmm-yyyy")</f>
        <v>Sep-2026</v>
      </c>
      <c r="G258" t="str">
        <f t="shared" ref="G258:G321" si="37">"Q"&amp;ROUNDUP(MONTH(A258)/3,0)</f>
        <v>Q3</v>
      </c>
      <c r="H258" t="str">
        <f t="shared" ref="H258:H321" si="38">TEXT(A258,"dddd")</f>
        <v>Monday</v>
      </c>
      <c r="I258" t="str">
        <f t="shared" ref="I258:I321" si="39">IF(WEEKDAY(A258,2)&gt;5,"Yes","No")</f>
        <v>No</v>
      </c>
    </row>
    <row r="259" spans="1:9" x14ac:dyDescent="0.25">
      <c r="A259" s="2">
        <v>46280</v>
      </c>
      <c r="B259">
        <f t="shared" si="32"/>
        <v>2026</v>
      </c>
      <c r="C259">
        <f t="shared" si="33"/>
        <v>9</v>
      </c>
      <c r="D259" t="str">
        <f t="shared" si="34"/>
        <v>September</v>
      </c>
      <c r="E259" t="str">
        <f t="shared" si="35"/>
        <v>Sep</v>
      </c>
      <c r="F259" t="str">
        <f t="shared" si="36"/>
        <v>Sep-2026</v>
      </c>
      <c r="G259" t="str">
        <f t="shared" si="37"/>
        <v>Q3</v>
      </c>
      <c r="H259" t="str">
        <f t="shared" si="38"/>
        <v>Tuesday</v>
      </c>
      <c r="I259" t="str">
        <f t="shared" si="39"/>
        <v>No</v>
      </c>
    </row>
    <row r="260" spans="1:9" x14ac:dyDescent="0.25">
      <c r="A260" s="2">
        <v>46281</v>
      </c>
      <c r="B260">
        <f t="shared" si="32"/>
        <v>2026</v>
      </c>
      <c r="C260">
        <f t="shared" si="33"/>
        <v>9</v>
      </c>
      <c r="D260" t="str">
        <f t="shared" si="34"/>
        <v>September</v>
      </c>
      <c r="E260" t="str">
        <f t="shared" si="35"/>
        <v>Sep</v>
      </c>
      <c r="F260" t="str">
        <f t="shared" si="36"/>
        <v>Sep-2026</v>
      </c>
      <c r="G260" t="str">
        <f t="shared" si="37"/>
        <v>Q3</v>
      </c>
      <c r="H260" t="str">
        <f t="shared" si="38"/>
        <v>Wednesday</v>
      </c>
      <c r="I260" t="str">
        <f t="shared" si="39"/>
        <v>No</v>
      </c>
    </row>
    <row r="261" spans="1:9" x14ac:dyDescent="0.25">
      <c r="A261" s="2">
        <v>46282</v>
      </c>
      <c r="B261">
        <f t="shared" si="32"/>
        <v>2026</v>
      </c>
      <c r="C261">
        <f t="shared" si="33"/>
        <v>9</v>
      </c>
      <c r="D261" t="str">
        <f t="shared" si="34"/>
        <v>September</v>
      </c>
      <c r="E261" t="str">
        <f t="shared" si="35"/>
        <v>Sep</v>
      </c>
      <c r="F261" t="str">
        <f t="shared" si="36"/>
        <v>Sep-2026</v>
      </c>
      <c r="G261" t="str">
        <f t="shared" si="37"/>
        <v>Q3</v>
      </c>
      <c r="H261" t="str">
        <f t="shared" si="38"/>
        <v>Thursday</v>
      </c>
      <c r="I261" t="str">
        <f t="shared" si="39"/>
        <v>No</v>
      </c>
    </row>
    <row r="262" spans="1:9" x14ac:dyDescent="0.25">
      <c r="A262" s="2">
        <v>46283</v>
      </c>
      <c r="B262">
        <f t="shared" si="32"/>
        <v>2026</v>
      </c>
      <c r="C262">
        <f t="shared" si="33"/>
        <v>9</v>
      </c>
      <c r="D262" t="str">
        <f t="shared" si="34"/>
        <v>September</v>
      </c>
      <c r="E262" t="str">
        <f t="shared" si="35"/>
        <v>Sep</v>
      </c>
      <c r="F262" t="str">
        <f t="shared" si="36"/>
        <v>Sep-2026</v>
      </c>
      <c r="G262" t="str">
        <f t="shared" si="37"/>
        <v>Q3</v>
      </c>
      <c r="H262" t="str">
        <f t="shared" si="38"/>
        <v>Friday</v>
      </c>
      <c r="I262" t="str">
        <f t="shared" si="39"/>
        <v>No</v>
      </c>
    </row>
    <row r="263" spans="1:9" x14ac:dyDescent="0.25">
      <c r="A263" s="2">
        <v>46284</v>
      </c>
      <c r="B263">
        <f t="shared" si="32"/>
        <v>2026</v>
      </c>
      <c r="C263">
        <f t="shared" si="33"/>
        <v>9</v>
      </c>
      <c r="D263" t="str">
        <f t="shared" si="34"/>
        <v>September</v>
      </c>
      <c r="E263" t="str">
        <f t="shared" si="35"/>
        <v>Sep</v>
      </c>
      <c r="F263" t="str">
        <f t="shared" si="36"/>
        <v>Sep-2026</v>
      </c>
      <c r="G263" t="str">
        <f t="shared" si="37"/>
        <v>Q3</v>
      </c>
      <c r="H263" t="str">
        <f t="shared" si="38"/>
        <v>Saturday</v>
      </c>
      <c r="I263" t="str">
        <f t="shared" si="39"/>
        <v>Yes</v>
      </c>
    </row>
    <row r="264" spans="1:9" x14ac:dyDescent="0.25">
      <c r="A264" s="2">
        <v>46285</v>
      </c>
      <c r="B264">
        <f t="shared" si="32"/>
        <v>2026</v>
      </c>
      <c r="C264">
        <f t="shared" si="33"/>
        <v>9</v>
      </c>
      <c r="D264" t="str">
        <f t="shared" si="34"/>
        <v>September</v>
      </c>
      <c r="E264" t="str">
        <f t="shared" si="35"/>
        <v>Sep</v>
      </c>
      <c r="F264" t="str">
        <f t="shared" si="36"/>
        <v>Sep-2026</v>
      </c>
      <c r="G264" t="str">
        <f t="shared" si="37"/>
        <v>Q3</v>
      </c>
      <c r="H264" t="str">
        <f t="shared" si="38"/>
        <v>Sunday</v>
      </c>
      <c r="I264" t="str">
        <f t="shared" si="39"/>
        <v>Yes</v>
      </c>
    </row>
    <row r="265" spans="1:9" x14ac:dyDescent="0.25">
      <c r="A265" s="2">
        <v>46286</v>
      </c>
      <c r="B265">
        <f t="shared" si="32"/>
        <v>2026</v>
      </c>
      <c r="C265">
        <f t="shared" si="33"/>
        <v>9</v>
      </c>
      <c r="D265" t="str">
        <f t="shared" si="34"/>
        <v>September</v>
      </c>
      <c r="E265" t="str">
        <f t="shared" si="35"/>
        <v>Sep</v>
      </c>
      <c r="F265" t="str">
        <f t="shared" si="36"/>
        <v>Sep-2026</v>
      </c>
      <c r="G265" t="str">
        <f t="shared" si="37"/>
        <v>Q3</v>
      </c>
      <c r="H265" t="str">
        <f t="shared" si="38"/>
        <v>Monday</v>
      </c>
      <c r="I265" t="str">
        <f t="shared" si="39"/>
        <v>No</v>
      </c>
    </row>
    <row r="266" spans="1:9" x14ac:dyDescent="0.25">
      <c r="A266" s="2">
        <v>46287</v>
      </c>
      <c r="B266">
        <f t="shared" si="32"/>
        <v>2026</v>
      </c>
      <c r="C266">
        <f t="shared" si="33"/>
        <v>9</v>
      </c>
      <c r="D266" t="str">
        <f t="shared" si="34"/>
        <v>September</v>
      </c>
      <c r="E266" t="str">
        <f t="shared" si="35"/>
        <v>Sep</v>
      </c>
      <c r="F266" t="str">
        <f t="shared" si="36"/>
        <v>Sep-2026</v>
      </c>
      <c r="G266" t="str">
        <f t="shared" si="37"/>
        <v>Q3</v>
      </c>
      <c r="H266" t="str">
        <f t="shared" si="38"/>
        <v>Tuesday</v>
      </c>
      <c r="I266" t="str">
        <f t="shared" si="39"/>
        <v>No</v>
      </c>
    </row>
    <row r="267" spans="1:9" x14ac:dyDescent="0.25">
      <c r="A267" s="2">
        <v>46288</v>
      </c>
      <c r="B267">
        <f t="shared" si="32"/>
        <v>2026</v>
      </c>
      <c r="C267">
        <f t="shared" si="33"/>
        <v>9</v>
      </c>
      <c r="D267" t="str">
        <f t="shared" si="34"/>
        <v>September</v>
      </c>
      <c r="E267" t="str">
        <f t="shared" si="35"/>
        <v>Sep</v>
      </c>
      <c r="F267" t="str">
        <f t="shared" si="36"/>
        <v>Sep-2026</v>
      </c>
      <c r="G267" t="str">
        <f t="shared" si="37"/>
        <v>Q3</v>
      </c>
      <c r="H267" t="str">
        <f t="shared" si="38"/>
        <v>Wednesday</v>
      </c>
      <c r="I267" t="str">
        <f t="shared" si="39"/>
        <v>No</v>
      </c>
    </row>
    <row r="268" spans="1:9" x14ac:dyDescent="0.25">
      <c r="A268" s="2">
        <v>46289</v>
      </c>
      <c r="B268">
        <f t="shared" si="32"/>
        <v>2026</v>
      </c>
      <c r="C268">
        <f t="shared" si="33"/>
        <v>9</v>
      </c>
      <c r="D268" t="str">
        <f t="shared" si="34"/>
        <v>September</v>
      </c>
      <c r="E268" t="str">
        <f t="shared" si="35"/>
        <v>Sep</v>
      </c>
      <c r="F268" t="str">
        <f t="shared" si="36"/>
        <v>Sep-2026</v>
      </c>
      <c r="G268" t="str">
        <f t="shared" si="37"/>
        <v>Q3</v>
      </c>
      <c r="H268" t="str">
        <f t="shared" si="38"/>
        <v>Thursday</v>
      </c>
      <c r="I268" t="str">
        <f t="shared" si="39"/>
        <v>No</v>
      </c>
    </row>
    <row r="269" spans="1:9" x14ac:dyDescent="0.25">
      <c r="A269" s="2">
        <v>46290</v>
      </c>
      <c r="B269">
        <f t="shared" si="32"/>
        <v>2026</v>
      </c>
      <c r="C269">
        <f t="shared" si="33"/>
        <v>9</v>
      </c>
      <c r="D269" t="str">
        <f t="shared" si="34"/>
        <v>September</v>
      </c>
      <c r="E269" t="str">
        <f t="shared" si="35"/>
        <v>Sep</v>
      </c>
      <c r="F269" t="str">
        <f t="shared" si="36"/>
        <v>Sep-2026</v>
      </c>
      <c r="G269" t="str">
        <f t="shared" si="37"/>
        <v>Q3</v>
      </c>
      <c r="H269" t="str">
        <f t="shared" si="38"/>
        <v>Friday</v>
      </c>
      <c r="I269" t="str">
        <f t="shared" si="39"/>
        <v>No</v>
      </c>
    </row>
    <row r="270" spans="1:9" x14ac:dyDescent="0.25">
      <c r="A270" s="2">
        <v>46291</v>
      </c>
      <c r="B270">
        <f t="shared" si="32"/>
        <v>2026</v>
      </c>
      <c r="C270">
        <f t="shared" si="33"/>
        <v>9</v>
      </c>
      <c r="D270" t="str">
        <f t="shared" si="34"/>
        <v>September</v>
      </c>
      <c r="E270" t="str">
        <f t="shared" si="35"/>
        <v>Sep</v>
      </c>
      <c r="F270" t="str">
        <f t="shared" si="36"/>
        <v>Sep-2026</v>
      </c>
      <c r="G270" t="str">
        <f t="shared" si="37"/>
        <v>Q3</v>
      </c>
      <c r="H270" t="str">
        <f t="shared" si="38"/>
        <v>Saturday</v>
      </c>
      <c r="I270" t="str">
        <f t="shared" si="39"/>
        <v>Yes</v>
      </c>
    </row>
    <row r="271" spans="1:9" x14ac:dyDescent="0.25">
      <c r="A271" s="2">
        <v>46292</v>
      </c>
      <c r="B271">
        <f t="shared" si="32"/>
        <v>2026</v>
      </c>
      <c r="C271">
        <f t="shared" si="33"/>
        <v>9</v>
      </c>
      <c r="D271" t="str">
        <f t="shared" si="34"/>
        <v>September</v>
      </c>
      <c r="E271" t="str">
        <f t="shared" si="35"/>
        <v>Sep</v>
      </c>
      <c r="F271" t="str">
        <f t="shared" si="36"/>
        <v>Sep-2026</v>
      </c>
      <c r="G271" t="str">
        <f t="shared" si="37"/>
        <v>Q3</v>
      </c>
      <c r="H271" t="str">
        <f t="shared" si="38"/>
        <v>Sunday</v>
      </c>
      <c r="I271" t="str">
        <f t="shared" si="39"/>
        <v>Yes</v>
      </c>
    </row>
    <row r="272" spans="1:9" x14ac:dyDescent="0.25">
      <c r="A272" s="2">
        <v>46293</v>
      </c>
      <c r="B272">
        <f t="shared" si="32"/>
        <v>2026</v>
      </c>
      <c r="C272">
        <f t="shared" si="33"/>
        <v>9</v>
      </c>
      <c r="D272" t="str">
        <f t="shared" si="34"/>
        <v>September</v>
      </c>
      <c r="E272" t="str">
        <f t="shared" si="35"/>
        <v>Sep</v>
      </c>
      <c r="F272" t="str">
        <f t="shared" si="36"/>
        <v>Sep-2026</v>
      </c>
      <c r="G272" t="str">
        <f t="shared" si="37"/>
        <v>Q3</v>
      </c>
      <c r="H272" t="str">
        <f t="shared" si="38"/>
        <v>Monday</v>
      </c>
      <c r="I272" t="str">
        <f t="shared" si="39"/>
        <v>No</v>
      </c>
    </row>
    <row r="273" spans="1:9" x14ac:dyDescent="0.25">
      <c r="A273" s="2">
        <v>46294</v>
      </c>
      <c r="B273">
        <f t="shared" si="32"/>
        <v>2026</v>
      </c>
      <c r="C273">
        <f t="shared" si="33"/>
        <v>9</v>
      </c>
      <c r="D273" t="str">
        <f t="shared" si="34"/>
        <v>September</v>
      </c>
      <c r="E273" t="str">
        <f t="shared" si="35"/>
        <v>Sep</v>
      </c>
      <c r="F273" t="str">
        <f t="shared" si="36"/>
        <v>Sep-2026</v>
      </c>
      <c r="G273" t="str">
        <f t="shared" si="37"/>
        <v>Q3</v>
      </c>
      <c r="H273" t="str">
        <f t="shared" si="38"/>
        <v>Tuesday</v>
      </c>
      <c r="I273" t="str">
        <f t="shared" si="39"/>
        <v>No</v>
      </c>
    </row>
    <row r="274" spans="1:9" x14ac:dyDescent="0.25">
      <c r="A274" s="2">
        <v>46295</v>
      </c>
      <c r="B274">
        <f t="shared" si="32"/>
        <v>2026</v>
      </c>
      <c r="C274">
        <f t="shared" si="33"/>
        <v>9</v>
      </c>
      <c r="D274" t="str">
        <f t="shared" si="34"/>
        <v>September</v>
      </c>
      <c r="E274" t="str">
        <f t="shared" si="35"/>
        <v>Sep</v>
      </c>
      <c r="F274" t="str">
        <f t="shared" si="36"/>
        <v>Sep-2026</v>
      </c>
      <c r="G274" t="str">
        <f t="shared" si="37"/>
        <v>Q3</v>
      </c>
      <c r="H274" t="str">
        <f t="shared" si="38"/>
        <v>Wednesday</v>
      </c>
      <c r="I274" t="str">
        <f t="shared" si="39"/>
        <v>No</v>
      </c>
    </row>
    <row r="275" spans="1:9" x14ac:dyDescent="0.25">
      <c r="A275" s="2">
        <v>46296</v>
      </c>
      <c r="B275">
        <f t="shared" si="32"/>
        <v>2026</v>
      </c>
      <c r="C275">
        <f t="shared" si="33"/>
        <v>10</v>
      </c>
      <c r="D275" t="str">
        <f t="shared" si="34"/>
        <v>October</v>
      </c>
      <c r="E275" t="str">
        <f t="shared" si="35"/>
        <v>Oct</v>
      </c>
      <c r="F275" t="str">
        <f t="shared" si="36"/>
        <v>Oct-2026</v>
      </c>
      <c r="G275" t="str">
        <f t="shared" si="37"/>
        <v>Q4</v>
      </c>
      <c r="H275" t="str">
        <f t="shared" si="38"/>
        <v>Thursday</v>
      </c>
      <c r="I275" t="str">
        <f t="shared" si="39"/>
        <v>No</v>
      </c>
    </row>
    <row r="276" spans="1:9" x14ac:dyDescent="0.25">
      <c r="A276" s="2">
        <v>46297</v>
      </c>
      <c r="B276">
        <f t="shared" si="32"/>
        <v>2026</v>
      </c>
      <c r="C276">
        <f t="shared" si="33"/>
        <v>10</v>
      </c>
      <c r="D276" t="str">
        <f t="shared" si="34"/>
        <v>October</v>
      </c>
      <c r="E276" t="str">
        <f t="shared" si="35"/>
        <v>Oct</v>
      </c>
      <c r="F276" t="str">
        <f t="shared" si="36"/>
        <v>Oct-2026</v>
      </c>
      <c r="G276" t="str">
        <f t="shared" si="37"/>
        <v>Q4</v>
      </c>
      <c r="H276" t="str">
        <f t="shared" si="38"/>
        <v>Friday</v>
      </c>
      <c r="I276" t="str">
        <f t="shared" si="39"/>
        <v>No</v>
      </c>
    </row>
    <row r="277" spans="1:9" x14ac:dyDescent="0.25">
      <c r="A277" s="2">
        <v>46298</v>
      </c>
      <c r="B277">
        <f t="shared" si="32"/>
        <v>2026</v>
      </c>
      <c r="C277">
        <f t="shared" si="33"/>
        <v>10</v>
      </c>
      <c r="D277" t="str">
        <f t="shared" si="34"/>
        <v>October</v>
      </c>
      <c r="E277" t="str">
        <f t="shared" si="35"/>
        <v>Oct</v>
      </c>
      <c r="F277" t="str">
        <f t="shared" si="36"/>
        <v>Oct-2026</v>
      </c>
      <c r="G277" t="str">
        <f t="shared" si="37"/>
        <v>Q4</v>
      </c>
      <c r="H277" t="str">
        <f t="shared" si="38"/>
        <v>Saturday</v>
      </c>
      <c r="I277" t="str">
        <f t="shared" si="39"/>
        <v>Yes</v>
      </c>
    </row>
    <row r="278" spans="1:9" x14ac:dyDescent="0.25">
      <c r="A278" s="2">
        <v>46299</v>
      </c>
      <c r="B278">
        <f t="shared" si="32"/>
        <v>2026</v>
      </c>
      <c r="C278">
        <f t="shared" si="33"/>
        <v>10</v>
      </c>
      <c r="D278" t="str">
        <f t="shared" si="34"/>
        <v>October</v>
      </c>
      <c r="E278" t="str">
        <f t="shared" si="35"/>
        <v>Oct</v>
      </c>
      <c r="F278" t="str">
        <f t="shared" si="36"/>
        <v>Oct-2026</v>
      </c>
      <c r="G278" t="str">
        <f t="shared" si="37"/>
        <v>Q4</v>
      </c>
      <c r="H278" t="str">
        <f t="shared" si="38"/>
        <v>Sunday</v>
      </c>
      <c r="I278" t="str">
        <f t="shared" si="39"/>
        <v>Yes</v>
      </c>
    </row>
    <row r="279" spans="1:9" x14ac:dyDescent="0.25">
      <c r="A279" s="2">
        <v>46300</v>
      </c>
      <c r="B279">
        <f t="shared" si="32"/>
        <v>2026</v>
      </c>
      <c r="C279">
        <f t="shared" si="33"/>
        <v>10</v>
      </c>
      <c r="D279" t="str">
        <f t="shared" si="34"/>
        <v>October</v>
      </c>
      <c r="E279" t="str">
        <f t="shared" si="35"/>
        <v>Oct</v>
      </c>
      <c r="F279" t="str">
        <f t="shared" si="36"/>
        <v>Oct-2026</v>
      </c>
      <c r="G279" t="str">
        <f t="shared" si="37"/>
        <v>Q4</v>
      </c>
      <c r="H279" t="str">
        <f t="shared" si="38"/>
        <v>Monday</v>
      </c>
      <c r="I279" t="str">
        <f t="shared" si="39"/>
        <v>No</v>
      </c>
    </row>
    <row r="280" spans="1:9" x14ac:dyDescent="0.25">
      <c r="A280" s="2">
        <v>46301</v>
      </c>
      <c r="B280">
        <f t="shared" si="32"/>
        <v>2026</v>
      </c>
      <c r="C280">
        <f t="shared" si="33"/>
        <v>10</v>
      </c>
      <c r="D280" t="str">
        <f t="shared" si="34"/>
        <v>October</v>
      </c>
      <c r="E280" t="str">
        <f t="shared" si="35"/>
        <v>Oct</v>
      </c>
      <c r="F280" t="str">
        <f t="shared" si="36"/>
        <v>Oct-2026</v>
      </c>
      <c r="G280" t="str">
        <f t="shared" si="37"/>
        <v>Q4</v>
      </c>
      <c r="H280" t="str">
        <f t="shared" si="38"/>
        <v>Tuesday</v>
      </c>
      <c r="I280" t="str">
        <f t="shared" si="39"/>
        <v>No</v>
      </c>
    </row>
    <row r="281" spans="1:9" x14ac:dyDescent="0.25">
      <c r="A281" s="2">
        <v>46302</v>
      </c>
      <c r="B281">
        <f t="shared" si="32"/>
        <v>2026</v>
      </c>
      <c r="C281">
        <f t="shared" si="33"/>
        <v>10</v>
      </c>
      <c r="D281" t="str">
        <f t="shared" si="34"/>
        <v>October</v>
      </c>
      <c r="E281" t="str">
        <f t="shared" si="35"/>
        <v>Oct</v>
      </c>
      <c r="F281" t="str">
        <f t="shared" si="36"/>
        <v>Oct-2026</v>
      </c>
      <c r="G281" t="str">
        <f t="shared" si="37"/>
        <v>Q4</v>
      </c>
      <c r="H281" t="str">
        <f t="shared" si="38"/>
        <v>Wednesday</v>
      </c>
      <c r="I281" t="str">
        <f t="shared" si="39"/>
        <v>No</v>
      </c>
    </row>
    <row r="282" spans="1:9" x14ac:dyDescent="0.25">
      <c r="A282" s="2">
        <v>46303</v>
      </c>
      <c r="B282">
        <f t="shared" si="32"/>
        <v>2026</v>
      </c>
      <c r="C282">
        <f t="shared" si="33"/>
        <v>10</v>
      </c>
      <c r="D282" t="str">
        <f t="shared" si="34"/>
        <v>October</v>
      </c>
      <c r="E282" t="str">
        <f t="shared" si="35"/>
        <v>Oct</v>
      </c>
      <c r="F282" t="str">
        <f t="shared" si="36"/>
        <v>Oct-2026</v>
      </c>
      <c r="G282" t="str">
        <f t="shared" si="37"/>
        <v>Q4</v>
      </c>
      <c r="H282" t="str">
        <f t="shared" si="38"/>
        <v>Thursday</v>
      </c>
      <c r="I282" t="str">
        <f t="shared" si="39"/>
        <v>No</v>
      </c>
    </row>
    <row r="283" spans="1:9" x14ac:dyDescent="0.25">
      <c r="A283" s="2">
        <v>46304</v>
      </c>
      <c r="B283">
        <f t="shared" si="32"/>
        <v>2026</v>
      </c>
      <c r="C283">
        <f t="shared" si="33"/>
        <v>10</v>
      </c>
      <c r="D283" t="str">
        <f t="shared" si="34"/>
        <v>October</v>
      </c>
      <c r="E283" t="str">
        <f t="shared" si="35"/>
        <v>Oct</v>
      </c>
      <c r="F283" t="str">
        <f t="shared" si="36"/>
        <v>Oct-2026</v>
      </c>
      <c r="G283" t="str">
        <f t="shared" si="37"/>
        <v>Q4</v>
      </c>
      <c r="H283" t="str">
        <f t="shared" si="38"/>
        <v>Friday</v>
      </c>
      <c r="I283" t="str">
        <f t="shared" si="39"/>
        <v>No</v>
      </c>
    </row>
    <row r="284" spans="1:9" x14ac:dyDescent="0.25">
      <c r="A284" s="2">
        <v>46305</v>
      </c>
      <c r="B284">
        <f t="shared" si="32"/>
        <v>2026</v>
      </c>
      <c r="C284">
        <f t="shared" si="33"/>
        <v>10</v>
      </c>
      <c r="D284" t="str">
        <f t="shared" si="34"/>
        <v>October</v>
      </c>
      <c r="E284" t="str">
        <f t="shared" si="35"/>
        <v>Oct</v>
      </c>
      <c r="F284" t="str">
        <f t="shared" si="36"/>
        <v>Oct-2026</v>
      </c>
      <c r="G284" t="str">
        <f t="shared" si="37"/>
        <v>Q4</v>
      </c>
      <c r="H284" t="str">
        <f t="shared" si="38"/>
        <v>Saturday</v>
      </c>
      <c r="I284" t="str">
        <f t="shared" si="39"/>
        <v>Yes</v>
      </c>
    </row>
    <row r="285" spans="1:9" x14ac:dyDescent="0.25">
      <c r="A285" s="2">
        <v>46306</v>
      </c>
      <c r="B285">
        <f t="shared" si="32"/>
        <v>2026</v>
      </c>
      <c r="C285">
        <f t="shared" si="33"/>
        <v>10</v>
      </c>
      <c r="D285" t="str">
        <f t="shared" si="34"/>
        <v>October</v>
      </c>
      <c r="E285" t="str">
        <f t="shared" si="35"/>
        <v>Oct</v>
      </c>
      <c r="F285" t="str">
        <f t="shared" si="36"/>
        <v>Oct-2026</v>
      </c>
      <c r="G285" t="str">
        <f t="shared" si="37"/>
        <v>Q4</v>
      </c>
      <c r="H285" t="str">
        <f t="shared" si="38"/>
        <v>Sunday</v>
      </c>
      <c r="I285" t="str">
        <f t="shared" si="39"/>
        <v>Yes</v>
      </c>
    </row>
    <row r="286" spans="1:9" x14ac:dyDescent="0.25">
      <c r="A286" s="2">
        <v>46307</v>
      </c>
      <c r="B286">
        <f t="shared" si="32"/>
        <v>2026</v>
      </c>
      <c r="C286">
        <f t="shared" si="33"/>
        <v>10</v>
      </c>
      <c r="D286" t="str">
        <f t="shared" si="34"/>
        <v>October</v>
      </c>
      <c r="E286" t="str">
        <f t="shared" si="35"/>
        <v>Oct</v>
      </c>
      <c r="F286" t="str">
        <f t="shared" si="36"/>
        <v>Oct-2026</v>
      </c>
      <c r="G286" t="str">
        <f t="shared" si="37"/>
        <v>Q4</v>
      </c>
      <c r="H286" t="str">
        <f t="shared" si="38"/>
        <v>Monday</v>
      </c>
      <c r="I286" t="str">
        <f t="shared" si="39"/>
        <v>No</v>
      </c>
    </row>
    <row r="287" spans="1:9" x14ac:dyDescent="0.25">
      <c r="A287" s="2">
        <v>46308</v>
      </c>
      <c r="B287">
        <f t="shared" si="32"/>
        <v>2026</v>
      </c>
      <c r="C287">
        <f t="shared" si="33"/>
        <v>10</v>
      </c>
      <c r="D287" t="str">
        <f t="shared" si="34"/>
        <v>October</v>
      </c>
      <c r="E287" t="str">
        <f t="shared" si="35"/>
        <v>Oct</v>
      </c>
      <c r="F287" t="str">
        <f t="shared" si="36"/>
        <v>Oct-2026</v>
      </c>
      <c r="G287" t="str">
        <f t="shared" si="37"/>
        <v>Q4</v>
      </c>
      <c r="H287" t="str">
        <f t="shared" si="38"/>
        <v>Tuesday</v>
      </c>
      <c r="I287" t="str">
        <f t="shared" si="39"/>
        <v>No</v>
      </c>
    </row>
    <row r="288" spans="1:9" x14ac:dyDescent="0.25">
      <c r="A288" s="2">
        <v>46309</v>
      </c>
      <c r="B288">
        <f t="shared" si="32"/>
        <v>2026</v>
      </c>
      <c r="C288">
        <f t="shared" si="33"/>
        <v>10</v>
      </c>
      <c r="D288" t="str">
        <f t="shared" si="34"/>
        <v>October</v>
      </c>
      <c r="E288" t="str">
        <f t="shared" si="35"/>
        <v>Oct</v>
      </c>
      <c r="F288" t="str">
        <f t="shared" si="36"/>
        <v>Oct-2026</v>
      </c>
      <c r="G288" t="str">
        <f t="shared" si="37"/>
        <v>Q4</v>
      </c>
      <c r="H288" t="str">
        <f t="shared" si="38"/>
        <v>Wednesday</v>
      </c>
      <c r="I288" t="str">
        <f t="shared" si="39"/>
        <v>No</v>
      </c>
    </row>
    <row r="289" spans="1:9" x14ac:dyDescent="0.25">
      <c r="A289" s="2">
        <v>46310</v>
      </c>
      <c r="B289">
        <f t="shared" si="32"/>
        <v>2026</v>
      </c>
      <c r="C289">
        <f t="shared" si="33"/>
        <v>10</v>
      </c>
      <c r="D289" t="str">
        <f t="shared" si="34"/>
        <v>October</v>
      </c>
      <c r="E289" t="str">
        <f t="shared" si="35"/>
        <v>Oct</v>
      </c>
      <c r="F289" t="str">
        <f t="shared" si="36"/>
        <v>Oct-2026</v>
      </c>
      <c r="G289" t="str">
        <f t="shared" si="37"/>
        <v>Q4</v>
      </c>
      <c r="H289" t="str">
        <f t="shared" si="38"/>
        <v>Thursday</v>
      </c>
      <c r="I289" t="str">
        <f t="shared" si="39"/>
        <v>No</v>
      </c>
    </row>
    <row r="290" spans="1:9" x14ac:dyDescent="0.25">
      <c r="A290" s="2">
        <v>46311</v>
      </c>
      <c r="B290">
        <f t="shared" si="32"/>
        <v>2026</v>
      </c>
      <c r="C290">
        <f t="shared" si="33"/>
        <v>10</v>
      </c>
      <c r="D290" t="str">
        <f t="shared" si="34"/>
        <v>October</v>
      </c>
      <c r="E290" t="str">
        <f t="shared" si="35"/>
        <v>Oct</v>
      </c>
      <c r="F290" t="str">
        <f t="shared" si="36"/>
        <v>Oct-2026</v>
      </c>
      <c r="G290" t="str">
        <f t="shared" si="37"/>
        <v>Q4</v>
      </c>
      <c r="H290" t="str">
        <f t="shared" si="38"/>
        <v>Friday</v>
      </c>
      <c r="I290" t="str">
        <f t="shared" si="39"/>
        <v>No</v>
      </c>
    </row>
    <row r="291" spans="1:9" x14ac:dyDescent="0.25">
      <c r="A291" s="2">
        <v>46312</v>
      </c>
      <c r="B291">
        <f t="shared" si="32"/>
        <v>2026</v>
      </c>
      <c r="C291">
        <f t="shared" si="33"/>
        <v>10</v>
      </c>
      <c r="D291" t="str">
        <f t="shared" si="34"/>
        <v>October</v>
      </c>
      <c r="E291" t="str">
        <f t="shared" si="35"/>
        <v>Oct</v>
      </c>
      <c r="F291" t="str">
        <f t="shared" si="36"/>
        <v>Oct-2026</v>
      </c>
      <c r="G291" t="str">
        <f t="shared" si="37"/>
        <v>Q4</v>
      </c>
      <c r="H291" t="str">
        <f t="shared" si="38"/>
        <v>Saturday</v>
      </c>
      <c r="I291" t="str">
        <f t="shared" si="39"/>
        <v>Yes</v>
      </c>
    </row>
    <row r="292" spans="1:9" x14ac:dyDescent="0.25">
      <c r="A292" s="2">
        <v>46313</v>
      </c>
      <c r="B292">
        <f t="shared" si="32"/>
        <v>2026</v>
      </c>
      <c r="C292">
        <f t="shared" si="33"/>
        <v>10</v>
      </c>
      <c r="D292" t="str">
        <f t="shared" si="34"/>
        <v>October</v>
      </c>
      <c r="E292" t="str">
        <f t="shared" si="35"/>
        <v>Oct</v>
      </c>
      <c r="F292" t="str">
        <f t="shared" si="36"/>
        <v>Oct-2026</v>
      </c>
      <c r="G292" t="str">
        <f t="shared" si="37"/>
        <v>Q4</v>
      </c>
      <c r="H292" t="str">
        <f t="shared" si="38"/>
        <v>Sunday</v>
      </c>
      <c r="I292" t="str">
        <f t="shared" si="39"/>
        <v>Yes</v>
      </c>
    </row>
    <row r="293" spans="1:9" x14ac:dyDescent="0.25">
      <c r="A293" s="2">
        <v>46314</v>
      </c>
      <c r="B293">
        <f t="shared" si="32"/>
        <v>2026</v>
      </c>
      <c r="C293">
        <f t="shared" si="33"/>
        <v>10</v>
      </c>
      <c r="D293" t="str">
        <f t="shared" si="34"/>
        <v>October</v>
      </c>
      <c r="E293" t="str">
        <f t="shared" si="35"/>
        <v>Oct</v>
      </c>
      <c r="F293" t="str">
        <f t="shared" si="36"/>
        <v>Oct-2026</v>
      </c>
      <c r="G293" t="str">
        <f t="shared" si="37"/>
        <v>Q4</v>
      </c>
      <c r="H293" t="str">
        <f t="shared" si="38"/>
        <v>Monday</v>
      </c>
      <c r="I293" t="str">
        <f t="shared" si="39"/>
        <v>No</v>
      </c>
    </row>
    <row r="294" spans="1:9" x14ac:dyDescent="0.25">
      <c r="A294" s="2">
        <v>46315</v>
      </c>
      <c r="B294">
        <f t="shared" si="32"/>
        <v>2026</v>
      </c>
      <c r="C294">
        <f t="shared" si="33"/>
        <v>10</v>
      </c>
      <c r="D294" t="str">
        <f t="shared" si="34"/>
        <v>October</v>
      </c>
      <c r="E294" t="str">
        <f t="shared" si="35"/>
        <v>Oct</v>
      </c>
      <c r="F294" t="str">
        <f t="shared" si="36"/>
        <v>Oct-2026</v>
      </c>
      <c r="G294" t="str">
        <f t="shared" si="37"/>
        <v>Q4</v>
      </c>
      <c r="H294" t="str">
        <f t="shared" si="38"/>
        <v>Tuesday</v>
      </c>
      <c r="I294" t="str">
        <f t="shared" si="39"/>
        <v>No</v>
      </c>
    </row>
    <row r="295" spans="1:9" x14ac:dyDescent="0.25">
      <c r="A295" s="2">
        <v>46316</v>
      </c>
      <c r="B295">
        <f t="shared" si="32"/>
        <v>2026</v>
      </c>
      <c r="C295">
        <f t="shared" si="33"/>
        <v>10</v>
      </c>
      <c r="D295" t="str">
        <f t="shared" si="34"/>
        <v>October</v>
      </c>
      <c r="E295" t="str">
        <f t="shared" si="35"/>
        <v>Oct</v>
      </c>
      <c r="F295" t="str">
        <f t="shared" si="36"/>
        <v>Oct-2026</v>
      </c>
      <c r="G295" t="str">
        <f t="shared" si="37"/>
        <v>Q4</v>
      </c>
      <c r="H295" t="str">
        <f t="shared" si="38"/>
        <v>Wednesday</v>
      </c>
      <c r="I295" t="str">
        <f t="shared" si="39"/>
        <v>No</v>
      </c>
    </row>
    <row r="296" spans="1:9" x14ac:dyDescent="0.25">
      <c r="A296" s="2">
        <v>46317</v>
      </c>
      <c r="B296">
        <f t="shared" si="32"/>
        <v>2026</v>
      </c>
      <c r="C296">
        <f t="shared" si="33"/>
        <v>10</v>
      </c>
      <c r="D296" t="str">
        <f t="shared" si="34"/>
        <v>October</v>
      </c>
      <c r="E296" t="str">
        <f t="shared" si="35"/>
        <v>Oct</v>
      </c>
      <c r="F296" t="str">
        <f t="shared" si="36"/>
        <v>Oct-2026</v>
      </c>
      <c r="G296" t="str">
        <f t="shared" si="37"/>
        <v>Q4</v>
      </c>
      <c r="H296" t="str">
        <f t="shared" si="38"/>
        <v>Thursday</v>
      </c>
      <c r="I296" t="str">
        <f t="shared" si="39"/>
        <v>No</v>
      </c>
    </row>
    <row r="297" spans="1:9" x14ac:dyDescent="0.25">
      <c r="A297" s="2">
        <v>46318</v>
      </c>
      <c r="B297">
        <f t="shared" si="32"/>
        <v>2026</v>
      </c>
      <c r="C297">
        <f t="shared" si="33"/>
        <v>10</v>
      </c>
      <c r="D297" t="str">
        <f t="shared" si="34"/>
        <v>October</v>
      </c>
      <c r="E297" t="str">
        <f t="shared" si="35"/>
        <v>Oct</v>
      </c>
      <c r="F297" t="str">
        <f t="shared" si="36"/>
        <v>Oct-2026</v>
      </c>
      <c r="G297" t="str">
        <f t="shared" si="37"/>
        <v>Q4</v>
      </c>
      <c r="H297" t="str">
        <f t="shared" si="38"/>
        <v>Friday</v>
      </c>
      <c r="I297" t="str">
        <f t="shared" si="39"/>
        <v>No</v>
      </c>
    </row>
    <row r="298" spans="1:9" x14ac:dyDescent="0.25">
      <c r="A298" s="2">
        <v>46319</v>
      </c>
      <c r="B298">
        <f t="shared" si="32"/>
        <v>2026</v>
      </c>
      <c r="C298">
        <f t="shared" si="33"/>
        <v>10</v>
      </c>
      <c r="D298" t="str">
        <f t="shared" si="34"/>
        <v>October</v>
      </c>
      <c r="E298" t="str">
        <f t="shared" si="35"/>
        <v>Oct</v>
      </c>
      <c r="F298" t="str">
        <f t="shared" si="36"/>
        <v>Oct-2026</v>
      </c>
      <c r="G298" t="str">
        <f t="shared" si="37"/>
        <v>Q4</v>
      </c>
      <c r="H298" t="str">
        <f t="shared" si="38"/>
        <v>Saturday</v>
      </c>
      <c r="I298" t="str">
        <f t="shared" si="39"/>
        <v>Yes</v>
      </c>
    </row>
    <row r="299" spans="1:9" x14ac:dyDescent="0.25">
      <c r="A299" s="2">
        <v>46320</v>
      </c>
      <c r="B299">
        <f t="shared" si="32"/>
        <v>2026</v>
      </c>
      <c r="C299">
        <f t="shared" si="33"/>
        <v>10</v>
      </c>
      <c r="D299" t="str">
        <f t="shared" si="34"/>
        <v>October</v>
      </c>
      <c r="E299" t="str">
        <f t="shared" si="35"/>
        <v>Oct</v>
      </c>
      <c r="F299" t="str">
        <f t="shared" si="36"/>
        <v>Oct-2026</v>
      </c>
      <c r="G299" t="str">
        <f t="shared" si="37"/>
        <v>Q4</v>
      </c>
      <c r="H299" t="str">
        <f t="shared" si="38"/>
        <v>Sunday</v>
      </c>
      <c r="I299" t="str">
        <f t="shared" si="39"/>
        <v>Yes</v>
      </c>
    </row>
    <row r="300" spans="1:9" x14ac:dyDescent="0.25">
      <c r="A300" s="2">
        <v>46321</v>
      </c>
      <c r="B300">
        <f t="shared" si="32"/>
        <v>2026</v>
      </c>
      <c r="C300">
        <f t="shared" si="33"/>
        <v>10</v>
      </c>
      <c r="D300" t="str">
        <f t="shared" si="34"/>
        <v>October</v>
      </c>
      <c r="E300" t="str">
        <f t="shared" si="35"/>
        <v>Oct</v>
      </c>
      <c r="F300" t="str">
        <f t="shared" si="36"/>
        <v>Oct-2026</v>
      </c>
      <c r="G300" t="str">
        <f t="shared" si="37"/>
        <v>Q4</v>
      </c>
      <c r="H300" t="str">
        <f t="shared" si="38"/>
        <v>Monday</v>
      </c>
      <c r="I300" t="str">
        <f t="shared" si="39"/>
        <v>No</v>
      </c>
    </row>
    <row r="301" spans="1:9" x14ac:dyDescent="0.25">
      <c r="A301" s="2">
        <v>46322</v>
      </c>
      <c r="B301">
        <f t="shared" si="32"/>
        <v>2026</v>
      </c>
      <c r="C301">
        <f t="shared" si="33"/>
        <v>10</v>
      </c>
      <c r="D301" t="str">
        <f t="shared" si="34"/>
        <v>October</v>
      </c>
      <c r="E301" t="str">
        <f t="shared" si="35"/>
        <v>Oct</v>
      </c>
      <c r="F301" t="str">
        <f t="shared" si="36"/>
        <v>Oct-2026</v>
      </c>
      <c r="G301" t="str">
        <f t="shared" si="37"/>
        <v>Q4</v>
      </c>
      <c r="H301" t="str">
        <f t="shared" si="38"/>
        <v>Tuesday</v>
      </c>
      <c r="I301" t="str">
        <f t="shared" si="39"/>
        <v>No</v>
      </c>
    </row>
    <row r="302" spans="1:9" x14ac:dyDescent="0.25">
      <c r="A302" s="2">
        <v>46323</v>
      </c>
      <c r="B302">
        <f t="shared" si="32"/>
        <v>2026</v>
      </c>
      <c r="C302">
        <f t="shared" si="33"/>
        <v>10</v>
      </c>
      <c r="D302" t="str">
        <f t="shared" si="34"/>
        <v>October</v>
      </c>
      <c r="E302" t="str">
        <f t="shared" si="35"/>
        <v>Oct</v>
      </c>
      <c r="F302" t="str">
        <f t="shared" si="36"/>
        <v>Oct-2026</v>
      </c>
      <c r="G302" t="str">
        <f t="shared" si="37"/>
        <v>Q4</v>
      </c>
      <c r="H302" t="str">
        <f t="shared" si="38"/>
        <v>Wednesday</v>
      </c>
      <c r="I302" t="str">
        <f t="shared" si="39"/>
        <v>No</v>
      </c>
    </row>
    <row r="303" spans="1:9" x14ac:dyDescent="0.25">
      <c r="A303" s="2">
        <v>46324</v>
      </c>
      <c r="B303">
        <f t="shared" si="32"/>
        <v>2026</v>
      </c>
      <c r="C303">
        <f t="shared" si="33"/>
        <v>10</v>
      </c>
      <c r="D303" t="str">
        <f t="shared" si="34"/>
        <v>October</v>
      </c>
      <c r="E303" t="str">
        <f t="shared" si="35"/>
        <v>Oct</v>
      </c>
      <c r="F303" t="str">
        <f t="shared" si="36"/>
        <v>Oct-2026</v>
      </c>
      <c r="G303" t="str">
        <f t="shared" si="37"/>
        <v>Q4</v>
      </c>
      <c r="H303" t="str">
        <f t="shared" si="38"/>
        <v>Thursday</v>
      </c>
      <c r="I303" t="str">
        <f t="shared" si="39"/>
        <v>No</v>
      </c>
    </row>
    <row r="304" spans="1:9" x14ac:dyDescent="0.25">
      <c r="A304" s="2">
        <v>46325</v>
      </c>
      <c r="B304">
        <f t="shared" si="32"/>
        <v>2026</v>
      </c>
      <c r="C304">
        <f t="shared" si="33"/>
        <v>10</v>
      </c>
      <c r="D304" t="str">
        <f t="shared" si="34"/>
        <v>October</v>
      </c>
      <c r="E304" t="str">
        <f t="shared" si="35"/>
        <v>Oct</v>
      </c>
      <c r="F304" t="str">
        <f t="shared" si="36"/>
        <v>Oct-2026</v>
      </c>
      <c r="G304" t="str">
        <f t="shared" si="37"/>
        <v>Q4</v>
      </c>
      <c r="H304" t="str">
        <f t="shared" si="38"/>
        <v>Friday</v>
      </c>
      <c r="I304" t="str">
        <f t="shared" si="39"/>
        <v>No</v>
      </c>
    </row>
    <row r="305" spans="1:9" x14ac:dyDescent="0.25">
      <c r="A305" s="2">
        <v>46326</v>
      </c>
      <c r="B305">
        <f t="shared" si="32"/>
        <v>2026</v>
      </c>
      <c r="C305">
        <f t="shared" si="33"/>
        <v>10</v>
      </c>
      <c r="D305" t="str">
        <f t="shared" si="34"/>
        <v>October</v>
      </c>
      <c r="E305" t="str">
        <f t="shared" si="35"/>
        <v>Oct</v>
      </c>
      <c r="F305" t="str">
        <f t="shared" si="36"/>
        <v>Oct-2026</v>
      </c>
      <c r="G305" t="str">
        <f t="shared" si="37"/>
        <v>Q4</v>
      </c>
      <c r="H305" t="str">
        <f t="shared" si="38"/>
        <v>Saturday</v>
      </c>
      <c r="I305" t="str">
        <f t="shared" si="39"/>
        <v>Yes</v>
      </c>
    </row>
    <row r="306" spans="1:9" x14ac:dyDescent="0.25">
      <c r="A306" s="2">
        <v>46327</v>
      </c>
      <c r="B306">
        <f t="shared" si="32"/>
        <v>2026</v>
      </c>
      <c r="C306">
        <f t="shared" si="33"/>
        <v>11</v>
      </c>
      <c r="D306" t="str">
        <f t="shared" si="34"/>
        <v>November</v>
      </c>
      <c r="E306" t="str">
        <f t="shared" si="35"/>
        <v>Nov</v>
      </c>
      <c r="F306" t="str">
        <f t="shared" si="36"/>
        <v>Nov-2026</v>
      </c>
      <c r="G306" t="str">
        <f t="shared" si="37"/>
        <v>Q4</v>
      </c>
      <c r="H306" t="str">
        <f t="shared" si="38"/>
        <v>Sunday</v>
      </c>
      <c r="I306" t="str">
        <f t="shared" si="39"/>
        <v>Yes</v>
      </c>
    </row>
    <row r="307" spans="1:9" x14ac:dyDescent="0.25">
      <c r="A307" s="2">
        <v>46328</v>
      </c>
      <c r="B307">
        <f t="shared" si="32"/>
        <v>2026</v>
      </c>
      <c r="C307">
        <f t="shared" si="33"/>
        <v>11</v>
      </c>
      <c r="D307" t="str">
        <f t="shared" si="34"/>
        <v>November</v>
      </c>
      <c r="E307" t="str">
        <f t="shared" si="35"/>
        <v>Nov</v>
      </c>
      <c r="F307" t="str">
        <f t="shared" si="36"/>
        <v>Nov-2026</v>
      </c>
      <c r="G307" t="str">
        <f t="shared" si="37"/>
        <v>Q4</v>
      </c>
      <c r="H307" t="str">
        <f t="shared" si="38"/>
        <v>Monday</v>
      </c>
      <c r="I307" t="str">
        <f t="shared" si="39"/>
        <v>No</v>
      </c>
    </row>
    <row r="308" spans="1:9" x14ac:dyDescent="0.25">
      <c r="A308" s="2">
        <v>46329</v>
      </c>
      <c r="B308">
        <f t="shared" si="32"/>
        <v>2026</v>
      </c>
      <c r="C308">
        <f t="shared" si="33"/>
        <v>11</v>
      </c>
      <c r="D308" t="str">
        <f t="shared" si="34"/>
        <v>November</v>
      </c>
      <c r="E308" t="str">
        <f t="shared" si="35"/>
        <v>Nov</v>
      </c>
      <c r="F308" t="str">
        <f t="shared" si="36"/>
        <v>Nov-2026</v>
      </c>
      <c r="G308" t="str">
        <f t="shared" si="37"/>
        <v>Q4</v>
      </c>
      <c r="H308" t="str">
        <f t="shared" si="38"/>
        <v>Tuesday</v>
      </c>
      <c r="I308" t="str">
        <f t="shared" si="39"/>
        <v>No</v>
      </c>
    </row>
    <row r="309" spans="1:9" x14ac:dyDescent="0.25">
      <c r="A309" s="2">
        <v>46330</v>
      </c>
      <c r="B309">
        <f t="shared" si="32"/>
        <v>2026</v>
      </c>
      <c r="C309">
        <f t="shared" si="33"/>
        <v>11</v>
      </c>
      <c r="D309" t="str">
        <f t="shared" si="34"/>
        <v>November</v>
      </c>
      <c r="E309" t="str">
        <f t="shared" si="35"/>
        <v>Nov</v>
      </c>
      <c r="F309" t="str">
        <f t="shared" si="36"/>
        <v>Nov-2026</v>
      </c>
      <c r="G309" t="str">
        <f t="shared" si="37"/>
        <v>Q4</v>
      </c>
      <c r="H309" t="str">
        <f t="shared" si="38"/>
        <v>Wednesday</v>
      </c>
      <c r="I309" t="str">
        <f t="shared" si="39"/>
        <v>No</v>
      </c>
    </row>
    <row r="310" spans="1:9" x14ac:dyDescent="0.25">
      <c r="A310" s="2">
        <v>46331</v>
      </c>
      <c r="B310">
        <f t="shared" si="32"/>
        <v>2026</v>
      </c>
      <c r="C310">
        <f t="shared" si="33"/>
        <v>11</v>
      </c>
      <c r="D310" t="str">
        <f t="shared" si="34"/>
        <v>November</v>
      </c>
      <c r="E310" t="str">
        <f t="shared" si="35"/>
        <v>Nov</v>
      </c>
      <c r="F310" t="str">
        <f t="shared" si="36"/>
        <v>Nov-2026</v>
      </c>
      <c r="G310" t="str">
        <f t="shared" si="37"/>
        <v>Q4</v>
      </c>
      <c r="H310" t="str">
        <f t="shared" si="38"/>
        <v>Thursday</v>
      </c>
      <c r="I310" t="str">
        <f t="shared" si="39"/>
        <v>No</v>
      </c>
    </row>
    <row r="311" spans="1:9" x14ac:dyDescent="0.25">
      <c r="A311" s="2">
        <v>46332</v>
      </c>
      <c r="B311">
        <f t="shared" si="32"/>
        <v>2026</v>
      </c>
      <c r="C311">
        <f t="shared" si="33"/>
        <v>11</v>
      </c>
      <c r="D311" t="str">
        <f t="shared" si="34"/>
        <v>November</v>
      </c>
      <c r="E311" t="str">
        <f t="shared" si="35"/>
        <v>Nov</v>
      </c>
      <c r="F311" t="str">
        <f t="shared" si="36"/>
        <v>Nov-2026</v>
      </c>
      <c r="G311" t="str">
        <f t="shared" si="37"/>
        <v>Q4</v>
      </c>
      <c r="H311" t="str">
        <f t="shared" si="38"/>
        <v>Friday</v>
      </c>
      <c r="I311" t="str">
        <f t="shared" si="39"/>
        <v>No</v>
      </c>
    </row>
    <row r="312" spans="1:9" x14ac:dyDescent="0.25">
      <c r="A312" s="2">
        <v>46333</v>
      </c>
      <c r="B312">
        <f t="shared" si="32"/>
        <v>2026</v>
      </c>
      <c r="C312">
        <f t="shared" si="33"/>
        <v>11</v>
      </c>
      <c r="D312" t="str">
        <f t="shared" si="34"/>
        <v>November</v>
      </c>
      <c r="E312" t="str">
        <f t="shared" si="35"/>
        <v>Nov</v>
      </c>
      <c r="F312" t="str">
        <f t="shared" si="36"/>
        <v>Nov-2026</v>
      </c>
      <c r="G312" t="str">
        <f t="shared" si="37"/>
        <v>Q4</v>
      </c>
      <c r="H312" t="str">
        <f t="shared" si="38"/>
        <v>Saturday</v>
      </c>
      <c r="I312" t="str">
        <f t="shared" si="39"/>
        <v>Yes</v>
      </c>
    </row>
    <row r="313" spans="1:9" x14ac:dyDescent="0.25">
      <c r="A313" s="2">
        <v>46334</v>
      </c>
      <c r="B313">
        <f t="shared" si="32"/>
        <v>2026</v>
      </c>
      <c r="C313">
        <f t="shared" si="33"/>
        <v>11</v>
      </c>
      <c r="D313" t="str">
        <f t="shared" si="34"/>
        <v>November</v>
      </c>
      <c r="E313" t="str">
        <f t="shared" si="35"/>
        <v>Nov</v>
      </c>
      <c r="F313" t="str">
        <f t="shared" si="36"/>
        <v>Nov-2026</v>
      </c>
      <c r="G313" t="str">
        <f t="shared" si="37"/>
        <v>Q4</v>
      </c>
      <c r="H313" t="str">
        <f t="shared" si="38"/>
        <v>Sunday</v>
      </c>
      <c r="I313" t="str">
        <f t="shared" si="39"/>
        <v>Yes</v>
      </c>
    </row>
    <row r="314" spans="1:9" x14ac:dyDescent="0.25">
      <c r="A314" s="2">
        <v>46335</v>
      </c>
      <c r="B314">
        <f t="shared" si="32"/>
        <v>2026</v>
      </c>
      <c r="C314">
        <f t="shared" si="33"/>
        <v>11</v>
      </c>
      <c r="D314" t="str">
        <f t="shared" si="34"/>
        <v>November</v>
      </c>
      <c r="E314" t="str">
        <f t="shared" si="35"/>
        <v>Nov</v>
      </c>
      <c r="F314" t="str">
        <f t="shared" si="36"/>
        <v>Nov-2026</v>
      </c>
      <c r="G314" t="str">
        <f t="shared" si="37"/>
        <v>Q4</v>
      </c>
      <c r="H314" t="str">
        <f t="shared" si="38"/>
        <v>Monday</v>
      </c>
      <c r="I314" t="str">
        <f t="shared" si="39"/>
        <v>No</v>
      </c>
    </row>
    <row r="315" spans="1:9" x14ac:dyDescent="0.25">
      <c r="A315" s="2">
        <v>46336</v>
      </c>
      <c r="B315">
        <f t="shared" si="32"/>
        <v>2026</v>
      </c>
      <c r="C315">
        <f t="shared" si="33"/>
        <v>11</v>
      </c>
      <c r="D315" t="str">
        <f t="shared" si="34"/>
        <v>November</v>
      </c>
      <c r="E315" t="str">
        <f t="shared" si="35"/>
        <v>Nov</v>
      </c>
      <c r="F315" t="str">
        <f t="shared" si="36"/>
        <v>Nov-2026</v>
      </c>
      <c r="G315" t="str">
        <f t="shared" si="37"/>
        <v>Q4</v>
      </c>
      <c r="H315" t="str">
        <f t="shared" si="38"/>
        <v>Tuesday</v>
      </c>
      <c r="I315" t="str">
        <f t="shared" si="39"/>
        <v>No</v>
      </c>
    </row>
    <row r="316" spans="1:9" x14ac:dyDescent="0.25">
      <c r="A316" s="2">
        <v>46337</v>
      </c>
      <c r="B316">
        <f t="shared" si="32"/>
        <v>2026</v>
      </c>
      <c r="C316">
        <f t="shared" si="33"/>
        <v>11</v>
      </c>
      <c r="D316" t="str">
        <f t="shared" si="34"/>
        <v>November</v>
      </c>
      <c r="E316" t="str">
        <f t="shared" si="35"/>
        <v>Nov</v>
      </c>
      <c r="F316" t="str">
        <f t="shared" si="36"/>
        <v>Nov-2026</v>
      </c>
      <c r="G316" t="str">
        <f t="shared" si="37"/>
        <v>Q4</v>
      </c>
      <c r="H316" t="str">
        <f t="shared" si="38"/>
        <v>Wednesday</v>
      </c>
      <c r="I316" t="str">
        <f t="shared" si="39"/>
        <v>No</v>
      </c>
    </row>
    <row r="317" spans="1:9" x14ac:dyDescent="0.25">
      <c r="A317" s="2">
        <v>46338</v>
      </c>
      <c r="B317">
        <f t="shared" si="32"/>
        <v>2026</v>
      </c>
      <c r="C317">
        <f t="shared" si="33"/>
        <v>11</v>
      </c>
      <c r="D317" t="str">
        <f t="shared" si="34"/>
        <v>November</v>
      </c>
      <c r="E317" t="str">
        <f t="shared" si="35"/>
        <v>Nov</v>
      </c>
      <c r="F317" t="str">
        <f t="shared" si="36"/>
        <v>Nov-2026</v>
      </c>
      <c r="G317" t="str">
        <f t="shared" si="37"/>
        <v>Q4</v>
      </c>
      <c r="H317" t="str">
        <f t="shared" si="38"/>
        <v>Thursday</v>
      </c>
      <c r="I317" t="str">
        <f t="shared" si="39"/>
        <v>No</v>
      </c>
    </row>
    <row r="318" spans="1:9" x14ac:dyDescent="0.25">
      <c r="A318" s="2">
        <v>46339</v>
      </c>
      <c r="B318">
        <f t="shared" si="32"/>
        <v>2026</v>
      </c>
      <c r="C318">
        <f t="shared" si="33"/>
        <v>11</v>
      </c>
      <c r="D318" t="str">
        <f t="shared" si="34"/>
        <v>November</v>
      </c>
      <c r="E318" t="str">
        <f t="shared" si="35"/>
        <v>Nov</v>
      </c>
      <c r="F318" t="str">
        <f t="shared" si="36"/>
        <v>Nov-2026</v>
      </c>
      <c r="G318" t="str">
        <f t="shared" si="37"/>
        <v>Q4</v>
      </c>
      <c r="H318" t="str">
        <f t="shared" si="38"/>
        <v>Friday</v>
      </c>
      <c r="I318" t="str">
        <f t="shared" si="39"/>
        <v>No</v>
      </c>
    </row>
    <row r="319" spans="1:9" x14ac:dyDescent="0.25">
      <c r="A319" s="2">
        <v>46340</v>
      </c>
      <c r="B319">
        <f t="shared" si="32"/>
        <v>2026</v>
      </c>
      <c r="C319">
        <f t="shared" si="33"/>
        <v>11</v>
      </c>
      <c r="D319" t="str">
        <f t="shared" si="34"/>
        <v>November</v>
      </c>
      <c r="E319" t="str">
        <f t="shared" si="35"/>
        <v>Nov</v>
      </c>
      <c r="F319" t="str">
        <f t="shared" si="36"/>
        <v>Nov-2026</v>
      </c>
      <c r="G319" t="str">
        <f t="shared" si="37"/>
        <v>Q4</v>
      </c>
      <c r="H319" t="str">
        <f t="shared" si="38"/>
        <v>Saturday</v>
      </c>
      <c r="I319" t="str">
        <f t="shared" si="39"/>
        <v>Yes</v>
      </c>
    </row>
    <row r="320" spans="1:9" x14ac:dyDescent="0.25">
      <c r="A320" s="2">
        <v>46341</v>
      </c>
      <c r="B320">
        <f t="shared" si="32"/>
        <v>2026</v>
      </c>
      <c r="C320">
        <f t="shared" si="33"/>
        <v>11</v>
      </c>
      <c r="D320" t="str">
        <f t="shared" si="34"/>
        <v>November</v>
      </c>
      <c r="E320" t="str">
        <f t="shared" si="35"/>
        <v>Nov</v>
      </c>
      <c r="F320" t="str">
        <f t="shared" si="36"/>
        <v>Nov-2026</v>
      </c>
      <c r="G320" t="str">
        <f t="shared" si="37"/>
        <v>Q4</v>
      </c>
      <c r="H320" t="str">
        <f t="shared" si="38"/>
        <v>Sunday</v>
      </c>
      <c r="I320" t="str">
        <f t="shared" si="39"/>
        <v>Yes</v>
      </c>
    </row>
    <row r="321" spans="1:9" x14ac:dyDescent="0.25">
      <c r="A321" s="2">
        <v>46342</v>
      </c>
      <c r="B321">
        <f t="shared" si="32"/>
        <v>2026</v>
      </c>
      <c r="C321">
        <f t="shared" si="33"/>
        <v>11</v>
      </c>
      <c r="D321" t="str">
        <f t="shared" si="34"/>
        <v>November</v>
      </c>
      <c r="E321" t="str">
        <f t="shared" si="35"/>
        <v>Nov</v>
      </c>
      <c r="F321" t="str">
        <f t="shared" si="36"/>
        <v>Nov-2026</v>
      </c>
      <c r="G321" t="str">
        <f t="shared" si="37"/>
        <v>Q4</v>
      </c>
      <c r="H321" t="str">
        <f t="shared" si="38"/>
        <v>Monday</v>
      </c>
      <c r="I321" t="str">
        <f t="shared" si="39"/>
        <v>No</v>
      </c>
    </row>
    <row r="322" spans="1:9" x14ac:dyDescent="0.25">
      <c r="A322" s="2">
        <v>46343</v>
      </c>
      <c r="B322">
        <f t="shared" ref="B322:B366" si="40">YEAR(A322)</f>
        <v>2026</v>
      </c>
      <c r="C322">
        <f t="shared" ref="C322:C366" si="41">MONTH(A322)</f>
        <v>11</v>
      </c>
      <c r="D322" t="str">
        <f t="shared" ref="D322:D366" si="42">TEXT(A322,"mmmm")</f>
        <v>November</v>
      </c>
      <c r="E322" t="str">
        <f t="shared" ref="E322:E366" si="43">TEXT(A322,"mmm")</f>
        <v>Nov</v>
      </c>
      <c r="F322" t="str">
        <f t="shared" ref="F322:F366" si="44">TEXT(A322,"mmm-yyyy")</f>
        <v>Nov-2026</v>
      </c>
      <c r="G322" t="str">
        <f t="shared" ref="G322:G366" si="45">"Q"&amp;ROUNDUP(MONTH(A322)/3,0)</f>
        <v>Q4</v>
      </c>
      <c r="H322" t="str">
        <f t="shared" ref="H322:H366" si="46">TEXT(A322,"dddd")</f>
        <v>Tuesday</v>
      </c>
      <c r="I322" t="str">
        <f t="shared" ref="I322:I366" si="47">IF(WEEKDAY(A322,2)&gt;5,"Yes","No")</f>
        <v>No</v>
      </c>
    </row>
    <row r="323" spans="1:9" x14ac:dyDescent="0.25">
      <c r="A323" s="2">
        <v>46344</v>
      </c>
      <c r="B323">
        <f t="shared" si="40"/>
        <v>2026</v>
      </c>
      <c r="C323">
        <f t="shared" si="41"/>
        <v>11</v>
      </c>
      <c r="D323" t="str">
        <f t="shared" si="42"/>
        <v>November</v>
      </c>
      <c r="E323" t="str">
        <f t="shared" si="43"/>
        <v>Nov</v>
      </c>
      <c r="F323" t="str">
        <f t="shared" si="44"/>
        <v>Nov-2026</v>
      </c>
      <c r="G323" t="str">
        <f t="shared" si="45"/>
        <v>Q4</v>
      </c>
      <c r="H323" t="str">
        <f t="shared" si="46"/>
        <v>Wednesday</v>
      </c>
      <c r="I323" t="str">
        <f t="shared" si="47"/>
        <v>No</v>
      </c>
    </row>
    <row r="324" spans="1:9" x14ac:dyDescent="0.25">
      <c r="A324" s="2">
        <v>46345</v>
      </c>
      <c r="B324">
        <f t="shared" si="40"/>
        <v>2026</v>
      </c>
      <c r="C324">
        <f t="shared" si="41"/>
        <v>11</v>
      </c>
      <c r="D324" t="str">
        <f t="shared" si="42"/>
        <v>November</v>
      </c>
      <c r="E324" t="str">
        <f t="shared" si="43"/>
        <v>Nov</v>
      </c>
      <c r="F324" t="str">
        <f t="shared" si="44"/>
        <v>Nov-2026</v>
      </c>
      <c r="G324" t="str">
        <f t="shared" si="45"/>
        <v>Q4</v>
      </c>
      <c r="H324" t="str">
        <f t="shared" si="46"/>
        <v>Thursday</v>
      </c>
      <c r="I324" t="str">
        <f t="shared" si="47"/>
        <v>No</v>
      </c>
    </row>
    <row r="325" spans="1:9" x14ac:dyDescent="0.25">
      <c r="A325" s="2">
        <v>46346</v>
      </c>
      <c r="B325">
        <f t="shared" si="40"/>
        <v>2026</v>
      </c>
      <c r="C325">
        <f t="shared" si="41"/>
        <v>11</v>
      </c>
      <c r="D325" t="str">
        <f t="shared" si="42"/>
        <v>November</v>
      </c>
      <c r="E325" t="str">
        <f t="shared" si="43"/>
        <v>Nov</v>
      </c>
      <c r="F325" t="str">
        <f t="shared" si="44"/>
        <v>Nov-2026</v>
      </c>
      <c r="G325" t="str">
        <f t="shared" si="45"/>
        <v>Q4</v>
      </c>
      <c r="H325" t="str">
        <f t="shared" si="46"/>
        <v>Friday</v>
      </c>
      <c r="I325" t="str">
        <f t="shared" si="47"/>
        <v>No</v>
      </c>
    </row>
    <row r="326" spans="1:9" x14ac:dyDescent="0.25">
      <c r="A326" s="2">
        <v>46347</v>
      </c>
      <c r="B326">
        <f t="shared" si="40"/>
        <v>2026</v>
      </c>
      <c r="C326">
        <f t="shared" si="41"/>
        <v>11</v>
      </c>
      <c r="D326" t="str">
        <f t="shared" si="42"/>
        <v>November</v>
      </c>
      <c r="E326" t="str">
        <f t="shared" si="43"/>
        <v>Nov</v>
      </c>
      <c r="F326" t="str">
        <f t="shared" si="44"/>
        <v>Nov-2026</v>
      </c>
      <c r="G326" t="str">
        <f t="shared" si="45"/>
        <v>Q4</v>
      </c>
      <c r="H326" t="str">
        <f t="shared" si="46"/>
        <v>Saturday</v>
      </c>
      <c r="I326" t="str">
        <f t="shared" si="47"/>
        <v>Yes</v>
      </c>
    </row>
    <row r="327" spans="1:9" x14ac:dyDescent="0.25">
      <c r="A327" s="2">
        <v>46348</v>
      </c>
      <c r="B327">
        <f t="shared" si="40"/>
        <v>2026</v>
      </c>
      <c r="C327">
        <f t="shared" si="41"/>
        <v>11</v>
      </c>
      <c r="D327" t="str">
        <f t="shared" si="42"/>
        <v>November</v>
      </c>
      <c r="E327" t="str">
        <f t="shared" si="43"/>
        <v>Nov</v>
      </c>
      <c r="F327" t="str">
        <f t="shared" si="44"/>
        <v>Nov-2026</v>
      </c>
      <c r="G327" t="str">
        <f t="shared" si="45"/>
        <v>Q4</v>
      </c>
      <c r="H327" t="str">
        <f t="shared" si="46"/>
        <v>Sunday</v>
      </c>
      <c r="I327" t="str">
        <f t="shared" si="47"/>
        <v>Yes</v>
      </c>
    </row>
    <row r="328" spans="1:9" x14ac:dyDescent="0.25">
      <c r="A328" s="2">
        <v>46349</v>
      </c>
      <c r="B328">
        <f t="shared" si="40"/>
        <v>2026</v>
      </c>
      <c r="C328">
        <f t="shared" si="41"/>
        <v>11</v>
      </c>
      <c r="D328" t="str">
        <f t="shared" si="42"/>
        <v>November</v>
      </c>
      <c r="E328" t="str">
        <f t="shared" si="43"/>
        <v>Nov</v>
      </c>
      <c r="F328" t="str">
        <f t="shared" si="44"/>
        <v>Nov-2026</v>
      </c>
      <c r="G328" t="str">
        <f t="shared" si="45"/>
        <v>Q4</v>
      </c>
      <c r="H328" t="str">
        <f t="shared" si="46"/>
        <v>Monday</v>
      </c>
      <c r="I328" t="str">
        <f t="shared" si="47"/>
        <v>No</v>
      </c>
    </row>
    <row r="329" spans="1:9" x14ac:dyDescent="0.25">
      <c r="A329" s="2">
        <v>46350</v>
      </c>
      <c r="B329">
        <f t="shared" si="40"/>
        <v>2026</v>
      </c>
      <c r="C329">
        <f t="shared" si="41"/>
        <v>11</v>
      </c>
      <c r="D329" t="str">
        <f t="shared" si="42"/>
        <v>November</v>
      </c>
      <c r="E329" t="str">
        <f t="shared" si="43"/>
        <v>Nov</v>
      </c>
      <c r="F329" t="str">
        <f t="shared" si="44"/>
        <v>Nov-2026</v>
      </c>
      <c r="G329" t="str">
        <f t="shared" si="45"/>
        <v>Q4</v>
      </c>
      <c r="H329" t="str">
        <f t="shared" si="46"/>
        <v>Tuesday</v>
      </c>
      <c r="I329" t="str">
        <f t="shared" si="47"/>
        <v>No</v>
      </c>
    </row>
    <row r="330" spans="1:9" x14ac:dyDescent="0.25">
      <c r="A330" s="2">
        <v>46351</v>
      </c>
      <c r="B330">
        <f t="shared" si="40"/>
        <v>2026</v>
      </c>
      <c r="C330">
        <f t="shared" si="41"/>
        <v>11</v>
      </c>
      <c r="D330" t="str">
        <f t="shared" si="42"/>
        <v>November</v>
      </c>
      <c r="E330" t="str">
        <f t="shared" si="43"/>
        <v>Nov</v>
      </c>
      <c r="F330" t="str">
        <f t="shared" si="44"/>
        <v>Nov-2026</v>
      </c>
      <c r="G330" t="str">
        <f t="shared" si="45"/>
        <v>Q4</v>
      </c>
      <c r="H330" t="str">
        <f t="shared" si="46"/>
        <v>Wednesday</v>
      </c>
      <c r="I330" t="str">
        <f t="shared" si="47"/>
        <v>No</v>
      </c>
    </row>
    <row r="331" spans="1:9" x14ac:dyDescent="0.25">
      <c r="A331" s="2">
        <v>46352</v>
      </c>
      <c r="B331">
        <f t="shared" si="40"/>
        <v>2026</v>
      </c>
      <c r="C331">
        <f t="shared" si="41"/>
        <v>11</v>
      </c>
      <c r="D331" t="str">
        <f t="shared" si="42"/>
        <v>November</v>
      </c>
      <c r="E331" t="str">
        <f t="shared" si="43"/>
        <v>Nov</v>
      </c>
      <c r="F331" t="str">
        <f t="shared" si="44"/>
        <v>Nov-2026</v>
      </c>
      <c r="G331" t="str">
        <f t="shared" si="45"/>
        <v>Q4</v>
      </c>
      <c r="H331" t="str">
        <f t="shared" si="46"/>
        <v>Thursday</v>
      </c>
      <c r="I331" t="str">
        <f t="shared" si="47"/>
        <v>No</v>
      </c>
    </row>
    <row r="332" spans="1:9" x14ac:dyDescent="0.25">
      <c r="A332" s="2">
        <v>46353</v>
      </c>
      <c r="B332">
        <f t="shared" si="40"/>
        <v>2026</v>
      </c>
      <c r="C332">
        <f t="shared" si="41"/>
        <v>11</v>
      </c>
      <c r="D332" t="str">
        <f t="shared" si="42"/>
        <v>November</v>
      </c>
      <c r="E332" t="str">
        <f t="shared" si="43"/>
        <v>Nov</v>
      </c>
      <c r="F332" t="str">
        <f t="shared" si="44"/>
        <v>Nov-2026</v>
      </c>
      <c r="G332" t="str">
        <f t="shared" si="45"/>
        <v>Q4</v>
      </c>
      <c r="H332" t="str">
        <f t="shared" si="46"/>
        <v>Friday</v>
      </c>
      <c r="I332" t="str">
        <f t="shared" si="47"/>
        <v>No</v>
      </c>
    </row>
    <row r="333" spans="1:9" x14ac:dyDescent="0.25">
      <c r="A333" s="2">
        <v>46354</v>
      </c>
      <c r="B333">
        <f t="shared" si="40"/>
        <v>2026</v>
      </c>
      <c r="C333">
        <f t="shared" si="41"/>
        <v>11</v>
      </c>
      <c r="D333" t="str">
        <f t="shared" si="42"/>
        <v>November</v>
      </c>
      <c r="E333" t="str">
        <f t="shared" si="43"/>
        <v>Nov</v>
      </c>
      <c r="F333" t="str">
        <f t="shared" si="44"/>
        <v>Nov-2026</v>
      </c>
      <c r="G333" t="str">
        <f t="shared" si="45"/>
        <v>Q4</v>
      </c>
      <c r="H333" t="str">
        <f t="shared" si="46"/>
        <v>Saturday</v>
      </c>
      <c r="I333" t="str">
        <f t="shared" si="47"/>
        <v>Yes</v>
      </c>
    </row>
    <row r="334" spans="1:9" x14ac:dyDescent="0.25">
      <c r="A334" s="2">
        <v>46355</v>
      </c>
      <c r="B334">
        <f t="shared" si="40"/>
        <v>2026</v>
      </c>
      <c r="C334">
        <f t="shared" si="41"/>
        <v>11</v>
      </c>
      <c r="D334" t="str">
        <f t="shared" si="42"/>
        <v>November</v>
      </c>
      <c r="E334" t="str">
        <f t="shared" si="43"/>
        <v>Nov</v>
      </c>
      <c r="F334" t="str">
        <f t="shared" si="44"/>
        <v>Nov-2026</v>
      </c>
      <c r="G334" t="str">
        <f t="shared" si="45"/>
        <v>Q4</v>
      </c>
      <c r="H334" t="str">
        <f t="shared" si="46"/>
        <v>Sunday</v>
      </c>
      <c r="I334" t="str">
        <f t="shared" si="47"/>
        <v>Yes</v>
      </c>
    </row>
    <row r="335" spans="1:9" x14ac:dyDescent="0.25">
      <c r="A335" s="2">
        <v>46356</v>
      </c>
      <c r="B335">
        <f t="shared" si="40"/>
        <v>2026</v>
      </c>
      <c r="C335">
        <f t="shared" si="41"/>
        <v>11</v>
      </c>
      <c r="D335" t="str">
        <f t="shared" si="42"/>
        <v>November</v>
      </c>
      <c r="E335" t="str">
        <f t="shared" si="43"/>
        <v>Nov</v>
      </c>
      <c r="F335" t="str">
        <f t="shared" si="44"/>
        <v>Nov-2026</v>
      </c>
      <c r="G335" t="str">
        <f t="shared" si="45"/>
        <v>Q4</v>
      </c>
      <c r="H335" t="str">
        <f t="shared" si="46"/>
        <v>Monday</v>
      </c>
      <c r="I335" t="str">
        <f t="shared" si="47"/>
        <v>No</v>
      </c>
    </row>
    <row r="336" spans="1:9" x14ac:dyDescent="0.25">
      <c r="A336" s="2">
        <v>46357</v>
      </c>
      <c r="B336">
        <f t="shared" si="40"/>
        <v>2026</v>
      </c>
      <c r="C336">
        <f t="shared" si="41"/>
        <v>12</v>
      </c>
      <c r="D336" t="str">
        <f t="shared" si="42"/>
        <v>December</v>
      </c>
      <c r="E336" t="str">
        <f t="shared" si="43"/>
        <v>Dec</v>
      </c>
      <c r="F336" t="str">
        <f t="shared" si="44"/>
        <v>Dec-2026</v>
      </c>
      <c r="G336" t="str">
        <f t="shared" si="45"/>
        <v>Q4</v>
      </c>
      <c r="H336" t="str">
        <f t="shared" si="46"/>
        <v>Tuesday</v>
      </c>
      <c r="I336" t="str">
        <f t="shared" si="47"/>
        <v>No</v>
      </c>
    </row>
    <row r="337" spans="1:9" x14ac:dyDescent="0.25">
      <c r="A337" s="2">
        <v>46358</v>
      </c>
      <c r="B337">
        <f t="shared" si="40"/>
        <v>2026</v>
      </c>
      <c r="C337">
        <f t="shared" si="41"/>
        <v>12</v>
      </c>
      <c r="D337" t="str">
        <f t="shared" si="42"/>
        <v>December</v>
      </c>
      <c r="E337" t="str">
        <f t="shared" si="43"/>
        <v>Dec</v>
      </c>
      <c r="F337" t="str">
        <f t="shared" si="44"/>
        <v>Dec-2026</v>
      </c>
      <c r="G337" t="str">
        <f t="shared" si="45"/>
        <v>Q4</v>
      </c>
      <c r="H337" t="str">
        <f t="shared" si="46"/>
        <v>Wednesday</v>
      </c>
      <c r="I337" t="str">
        <f t="shared" si="47"/>
        <v>No</v>
      </c>
    </row>
    <row r="338" spans="1:9" x14ac:dyDescent="0.25">
      <c r="A338" s="2">
        <v>46359</v>
      </c>
      <c r="B338">
        <f t="shared" si="40"/>
        <v>2026</v>
      </c>
      <c r="C338">
        <f t="shared" si="41"/>
        <v>12</v>
      </c>
      <c r="D338" t="str">
        <f t="shared" si="42"/>
        <v>December</v>
      </c>
      <c r="E338" t="str">
        <f t="shared" si="43"/>
        <v>Dec</v>
      </c>
      <c r="F338" t="str">
        <f t="shared" si="44"/>
        <v>Dec-2026</v>
      </c>
      <c r="G338" t="str">
        <f t="shared" si="45"/>
        <v>Q4</v>
      </c>
      <c r="H338" t="str">
        <f t="shared" si="46"/>
        <v>Thursday</v>
      </c>
      <c r="I338" t="str">
        <f t="shared" si="47"/>
        <v>No</v>
      </c>
    </row>
    <row r="339" spans="1:9" x14ac:dyDescent="0.25">
      <c r="A339" s="2">
        <v>46360</v>
      </c>
      <c r="B339">
        <f t="shared" si="40"/>
        <v>2026</v>
      </c>
      <c r="C339">
        <f t="shared" si="41"/>
        <v>12</v>
      </c>
      <c r="D339" t="str">
        <f t="shared" si="42"/>
        <v>December</v>
      </c>
      <c r="E339" t="str">
        <f t="shared" si="43"/>
        <v>Dec</v>
      </c>
      <c r="F339" t="str">
        <f t="shared" si="44"/>
        <v>Dec-2026</v>
      </c>
      <c r="G339" t="str">
        <f t="shared" si="45"/>
        <v>Q4</v>
      </c>
      <c r="H339" t="str">
        <f t="shared" si="46"/>
        <v>Friday</v>
      </c>
      <c r="I339" t="str">
        <f t="shared" si="47"/>
        <v>No</v>
      </c>
    </row>
    <row r="340" spans="1:9" x14ac:dyDescent="0.25">
      <c r="A340" s="2">
        <v>46361</v>
      </c>
      <c r="B340">
        <f t="shared" si="40"/>
        <v>2026</v>
      </c>
      <c r="C340">
        <f t="shared" si="41"/>
        <v>12</v>
      </c>
      <c r="D340" t="str">
        <f t="shared" si="42"/>
        <v>December</v>
      </c>
      <c r="E340" t="str">
        <f t="shared" si="43"/>
        <v>Dec</v>
      </c>
      <c r="F340" t="str">
        <f t="shared" si="44"/>
        <v>Dec-2026</v>
      </c>
      <c r="G340" t="str">
        <f t="shared" si="45"/>
        <v>Q4</v>
      </c>
      <c r="H340" t="str">
        <f t="shared" si="46"/>
        <v>Saturday</v>
      </c>
      <c r="I340" t="str">
        <f t="shared" si="47"/>
        <v>Yes</v>
      </c>
    </row>
    <row r="341" spans="1:9" x14ac:dyDescent="0.25">
      <c r="A341" s="2">
        <v>46362</v>
      </c>
      <c r="B341">
        <f t="shared" si="40"/>
        <v>2026</v>
      </c>
      <c r="C341">
        <f t="shared" si="41"/>
        <v>12</v>
      </c>
      <c r="D341" t="str">
        <f t="shared" si="42"/>
        <v>December</v>
      </c>
      <c r="E341" t="str">
        <f t="shared" si="43"/>
        <v>Dec</v>
      </c>
      <c r="F341" t="str">
        <f t="shared" si="44"/>
        <v>Dec-2026</v>
      </c>
      <c r="G341" t="str">
        <f t="shared" si="45"/>
        <v>Q4</v>
      </c>
      <c r="H341" t="str">
        <f t="shared" si="46"/>
        <v>Sunday</v>
      </c>
      <c r="I341" t="str">
        <f t="shared" si="47"/>
        <v>Yes</v>
      </c>
    </row>
    <row r="342" spans="1:9" x14ac:dyDescent="0.25">
      <c r="A342" s="2">
        <v>46363</v>
      </c>
      <c r="B342">
        <f t="shared" si="40"/>
        <v>2026</v>
      </c>
      <c r="C342">
        <f t="shared" si="41"/>
        <v>12</v>
      </c>
      <c r="D342" t="str">
        <f t="shared" si="42"/>
        <v>December</v>
      </c>
      <c r="E342" t="str">
        <f t="shared" si="43"/>
        <v>Dec</v>
      </c>
      <c r="F342" t="str">
        <f t="shared" si="44"/>
        <v>Dec-2026</v>
      </c>
      <c r="G342" t="str">
        <f t="shared" si="45"/>
        <v>Q4</v>
      </c>
      <c r="H342" t="str">
        <f t="shared" si="46"/>
        <v>Monday</v>
      </c>
      <c r="I342" t="str">
        <f t="shared" si="47"/>
        <v>No</v>
      </c>
    </row>
    <row r="343" spans="1:9" x14ac:dyDescent="0.25">
      <c r="A343" s="2">
        <v>46364</v>
      </c>
      <c r="B343">
        <f t="shared" si="40"/>
        <v>2026</v>
      </c>
      <c r="C343">
        <f t="shared" si="41"/>
        <v>12</v>
      </c>
      <c r="D343" t="str">
        <f t="shared" si="42"/>
        <v>December</v>
      </c>
      <c r="E343" t="str">
        <f t="shared" si="43"/>
        <v>Dec</v>
      </c>
      <c r="F343" t="str">
        <f t="shared" si="44"/>
        <v>Dec-2026</v>
      </c>
      <c r="G343" t="str">
        <f t="shared" si="45"/>
        <v>Q4</v>
      </c>
      <c r="H343" t="str">
        <f t="shared" si="46"/>
        <v>Tuesday</v>
      </c>
      <c r="I343" t="str">
        <f t="shared" si="47"/>
        <v>No</v>
      </c>
    </row>
    <row r="344" spans="1:9" x14ac:dyDescent="0.25">
      <c r="A344" s="2">
        <v>46365</v>
      </c>
      <c r="B344">
        <f t="shared" si="40"/>
        <v>2026</v>
      </c>
      <c r="C344">
        <f t="shared" si="41"/>
        <v>12</v>
      </c>
      <c r="D344" t="str">
        <f t="shared" si="42"/>
        <v>December</v>
      </c>
      <c r="E344" t="str">
        <f t="shared" si="43"/>
        <v>Dec</v>
      </c>
      <c r="F344" t="str">
        <f t="shared" si="44"/>
        <v>Dec-2026</v>
      </c>
      <c r="G344" t="str">
        <f t="shared" si="45"/>
        <v>Q4</v>
      </c>
      <c r="H344" t="str">
        <f t="shared" si="46"/>
        <v>Wednesday</v>
      </c>
      <c r="I344" t="str">
        <f t="shared" si="47"/>
        <v>No</v>
      </c>
    </row>
    <row r="345" spans="1:9" x14ac:dyDescent="0.25">
      <c r="A345" s="2">
        <v>46366</v>
      </c>
      <c r="B345">
        <f t="shared" si="40"/>
        <v>2026</v>
      </c>
      <c r="C345">
        <f t="shared" si="41"/>
        <v>12</v>
      </c>
      <c r="D345" t="str">
        <f t="shared" si="42"/>
        <v>December</v>
      </c>
      <c r="E345" t="str">
        <f t="shared" si="43"/>
        <v>Dec</v>
      </c>
      <c r="F345" t="str">
        <f t="shared" si="44"/>
        <v>Dec-2026</v>
      </c>
      <c r="G345" t="str">
        <f t="shared" si="45"/>
        <v>Q4</v>
      </c>
      <c r="H345" t="str">
        <f t="shared" si="46"/>
        <v>Thursday</v>
      </c>
      <c r="I345" t="str">
        <f t="shared" si="47"/>
        <v>No</v>
      </c>
    </row>
    <row r="346" spans="1:9" x14ac:dyDescent="0.25">
      <c r="A346" s="2">
        <v>46367</v>
      </c>
      <c r="B346">
        <f t="shared" si="40"/>
        <v>2026</v>
      </c>
      <c r="C346">
        <f t="shared" si="41"/>
        <v>12</v>
      </c>
      <c r="D346" t="str">
        <f t="shared" si="42"/>
        <v>December</v>
      </c>
      <c r="E346" t="str">
        <f t="shared" si="43"/>
        <v>Dec</v>
      </c>
      <c r="F346" t="str">
        <f t="shared" si="44"/>
        <v>Dec-2026</v>
      </c>
      <c r="G346" t="str">
        <f t="shared" si="45"/>
        <v>Q4</v>
      </c>
      <c r="H346" t="str">
        <f t="shared" si="46"/>
        <v>Friday</v>
      </c>
      <c r="I346" t="str">
        <f t="shared" si="47"/>
        <v>No</v>
      </c>
    </row>
    <row r="347" spans="1:9" x14ac:dyDescent="0.25">
      <c r="A347" s="2">
        <v>46368</v>
      </c>
      <c r="B347">
        <f t="shared" si="40"/>
        <v>2026</v>
      </c>
      <c r="C347">
        <f t="shared" si="41"/>
        <v>12</v>
      </c>
      <c r="D347" t="str">
        <f t="shared" si="42"/>
        <v>December</v>
      </c>
      <c r="E347" t="str">
        <f t="shared" si="43"/>
        <v>Dec</v>
      </c>
      <c r="F347" t="str">
        <f t="shared" si="44"/>
        <v>Dec-2026</v>
      </c>
      <c r="G347" t="str">
        <f t="shared" si="45"/>
        <v>Q4</v>
      </c>
      <c r="H347" t="str">
        <f t="shared" si="46"/>
        <v>Saturday</v>
      </c>
      <c r="I347" t="str">
        <f t="shared" si="47"/>
        <v>Yes</v>
      </c>
    </row>
    <row r="348" spans="1:9" x14ac:dyDescent="0.25">
      <c r="A348" s="2">
        <v>46369</v>
      </c>
      <c r="B348">
        <f t="shared" si="40"/>
        <v>2026</v>
      </c>
      <c r="C348">
        <f t="shared" si="41"/>
        <v>12</v>
      </c>
      <c r="D348" t="str">
        <f t="shared" si="42"/>
        <v>December</v>
      </c>
      <c r="E348" t="str">
        <f t="shared" si="43"/>
        <v>Dec</v>
      </c>
      <c r="F348" t="str">
        <f t="shared" si="44"/>
        <v>Dec-2026</v>
      </c>
      <c r="G348" t="str">
        <f t="shared" si="45"/>
        <v>Q4</v>
      </c>
      <c r="H348" t="str">
        <f t="shared" si="46"/>
        <v>Sunday</v>
      </c>
      <c r="I348" t="str">
        <f t="shared" si="47"/>
        <v>Yes</v>
      </c>
    </row>
    <row r="349" spans="1:9" x14ac:dyDescent="0.25">
      <c r="A349" s="2">
        <v>46370</v>
      </c>
      <c r="B349">
        <f t="shared" si="40"/>
        <v>2026</v>
      </c>
      <c r="C349">
        <f t="shared" si="41"/>
        <v>12</v>
      </c>
      <c r="D349" t="str">
        <f t="shared" si="42"/>
        <v>December</v>
      </c>
      <c r="E349" t="str">
        <f t="shared" si="43"/>
        <v>Dec</v>
      </c>
      <c r="F349" t="str">
        <f t="shared" si="44"/>
        <v>Dec-2026</v>
      </c>
      <c r="G349" t="str">
        <f t="shared" si="45"/>
        <v>Q4</v>
      </c>
      <c r="H349" t="str">
        <f t="shared" si="46"/>
        <v>Monday</v>
      </c>
      <c r="I349" t="str">
        <f t="shared" si="47"/>
        <v>No</v>
      </c>
    </row>
    <row r="350" spans="1:9" x14ac:dyDescent="0.25">
      <c r="A350" s="2">
        <v>46371</v>
      </c>
      <c r="B350">
        <f t="shared" si="40"/>
        <v>2026</v>
      </c>
      <c r="C350">
        <f t="shared" si="41"/>
        <v>12</v>
      </c>
      <c r="D350" t="str">
        <f t="shared" si="42"/>
        <v>December</v>
      </c>
      <c r="E350" t="str">
        <f t="shared" si="43"/>
        <v>Dec</v>
      </c>
      <c r="F350" t="str">
        <f t="shared" si="44"/>
        <v>Dec-2026</v>
      </c>
      <c r="G350" t="str">
        <f t="shared" si="45"/>
        <v>Q4</v>
      </c>
      <c r="H350" t="str">
        <f t="shared" si="46"/>
        <v>Tuesday</v>
      </c>
      <c r="I350" t="str">
        <f t="shared" si="47"/>
        <v>No</v>
      </c>
    </row>
    <row r="351" spans="1:9" x14ac:dyDescent="0.25">
      <c r="A351" s="2">
        <v>46372</v>
      </c>
      <c r="B351">
        <f t="shared" si="40"/>
        <v>2026</v>
      </c>
      <c r="C351">
        <f t="shared" si="41"/>
        <v>12</v>
      </c>
      <c r="D351" t="str">
        <f t="shared" si="42"/>
        <v>December</v>
      </c>
      <c r="E351" t="str">
        <f t="shared" si="43"/>
        <v>Dec</v>
      </c>
      <c r="F351" t="str">
        <f t="shared" si="44"/>
        <v>Dec-2026</v>
      </c>
      <c r="G351" t="str">
        <f t="shared" si="45"/>
        <v>Q4</v>
      </c>
      <c r="H351" t="str">
        <f t="shared" si="46"/>
        <v>Wednesday</v>
      </c>
      <c r="I351" t="str">
        <f t="shared" si="47"/>
        <v>No</v>
      </c>
    </row>
    <row r="352" spans="1:9" x14ac:dyDescent="0.25">
      <c r="A352" s="2">
        <v>46373</v>
      </c>
      <c r="B352">
        <f t="shared" si="40"/>
        <v>2026</v>
      </c>
      <c r="C352">
        <f t="shared" si="41"/>
        <v>12</v>
      </c>
      <c r="D352" t="str">
        <f t="shared" si="42"/>
        <v>December</v>
      </c>
      <c r="E352" t="str">
        <f t="shared" si="43"/>
        <v>Dec</v>
      </c>
      <c r="F352" t="str">
        <f t="shared" si="44"/>
        <v>Dec-2026</v>
      </c>
      <c r="G352" t="str">
        <f t="shared" si="45"/>
        <v>Q4</v>
      </c>
      <c r="H352" t="str">
        <f t="shared" si="46"/>
        <v>Thursday</v>
      </c>
      <c r="I352" t="str">
        <f t="shared" si="47"/>
        <v>No</v>
      </c>
    </row>
    <row r="353" spans="1:9" x14ac:dyDescent="0.25">
      <c r="A353" s="2">
        <v>46374</v>
      </c>
      <c r="B353">
        <f t="shared" si="40"/>
        <v>2026</v>
      </c>
      <c r="C353">
        <f t="shared" si="41"/>
        <v>12</v>
      </c>
      <c r="D353" t="str">
        <f t="shared" si="42"/>
        <v>December</v>
      </c>
      <c r="E353" t="str">
        <f t="shared" si="43"/>
        <v>Dec</v>
      </c>
      <c r="F353" t="str">
        <f t="shared" si="44"/>
        <v>Dec-2026</v>
      </c>
      <c r="G353" t="str">
        <f t="shared" si="45"/>
        <v>Q4</v>
      </c>
      <c r="H353" t="str">
        <f t="shared" si="46"/>
        <v>Friday</v>
      </c>
      <c r="I353" t="str">
        <f t="shared" si="47"/>
        <v>No</v>
      </c>
    </row>
    <row r="354" spans="1:9" x14ac:dyDescent="0.25">
      <c r="A354" s="2">
        <v>46375</v>
      </c>
      <c r="B354">
        <f t="shared" si="40"/>
        <v>2026</v>
      </c>
      <c r="C354">
        <f t="shared" si="41"/>
        <v>12</v>
      </c>
      <c r="D354" t="str">
        <f t="shared" si="42"/>
        <v>December</v>
      </c>
      <c r="E354" t="str">
        <f t="shared" si="43"/>
        <v>Dec</v>
      </c>
      <c r="F354" t="str">
        <f t="shared" si="44"/>
        <v>Dec-2026</v>
      </c>
      <c r="G354" t="str">
        <f t="shared" si="45"/>
        <v>Q4</v>
      </c>
      <c r="H354" t="str">
        <f t="shared" si="46"/>
        <v>Saturday</v>
      </c>
      <c r="I354" t="str">
        <f t="shared" si="47"/>
        <v>Yes</v>
      </c>
    </row>
    <row r="355" spans="1:9" x14ac:dyDescent="0.25">
      <c r="A355" s="2">
        <v>46376</v>
      </c>
      <c r="B355">
        <f t="shared" si="40"/>
        <v>2026</v>
      </c>
      <c r="C355">
        <f t="shared" si="41"/>
        <v>12</v>
      </c>
      <c r="D355" t="str">
        <f t="shared" si="42"/>
        <v>December</v>
      </c>
      <c r="E355" t="str">
        <f t="shared" si="43"/>
        <v>Dec</v>
      </c>
      <c r="F355" t="str">
        <f t="shared" si="44"/>
        <v>Dec-2026</v>
      </c>
      <c r="G355" t="str">
        <f t="shared" si="45"/>
        <v>Q4</v>
      </c>
      <c r="H355" t="str">
        <f t="shared" si="46"/>
        <v>Sunday</v>
      </c>
      <c r="I355" t="str">
        <f t="shared" si="47"/>
        <v>Yes</v>
      </c>
    </row>
    <row r="356" spans="1:9" x14ac:dyDescent="0.25">
      <c r="A356" s="2">
        <v>46377</v>
      </c>
      <c r="B356">
        <f t="shared" si="40"/>
        <v>2026</v>
      </c>
      <c r="C356">
        <f t="shared" si="41"/>
        <v>12</v>
      </c>
      <c r="D356" t="str">
        <f t="shared" si="42"/>
        <v>December</v>
      </c>
      <c r="E356" t="str">
        <f t="shared" si="43"/>
        <v>Dec</v>
      </c>
      <c r="F356" t="str">
        <f t="shared" si="44"/>
        <v>Dec-2026</v>
      </c>
      <c r="G356" t="str">
        <f t="shared" si="45"/>
        <v>Q4</v>
      </c>
      <c r="H356" t="str">
        <f t="shared" si="46"/>
        <v>Monday</v>
      </c>
      <c r="I356" t="str">
        <f t="shared" si="47"/>
        <v>No</v>
      </c>
    </row>
    <row r="357" spans="1:9" x14ac:dyDescent="0.25">
      <c r="A357" s="2">
        <v>46378</v>
      </c>
      <c r="B357">
        <f t="shared" si="40"/>
        <v>2026</v>
      </c>
      <c r="C357">
        <f t="shared" si="41"/>
        <v>12</v>
      </c>
      <c r="D357" t="str">
        <f t="shared" si="42"/>
        <v>December</v>
      </c>
      <c r="E357" t="str">
        <f t="shared" si="43"/>
        <v>Dec</v>
      </c>
      <c r="F357" t="str">
        <f t="shared" si="44"/>
        <v>Dec-2026</v>
      </c>
      <c r="G357" t="str">
        <f t="shared" si="45"/>
        <v>Q4</v>
      </c>
      <c r="H357" t="str">
        <f t="shared" si="46"/>
        <v>Tuesday</v>
      </c>
      <c r="I357" t="str">
        <f t="shared" si="47"/>
        <v>No</v>
      </c>
    </row>
    <row r="358" spans="1:9" x14ac:dyDescent="0.25">
      <c r="A358" s="2">
        <v>46379</v>
      </c>
      <c r="B358">
        <f t="shared" si="40"/>
        <v>2026</v>
      </c>
      <c r="C358">
        <f t="shared" si="41"/>
        <v>12</v>
      </c>
      <c r="D358" t="str">
        <f t="shared" si="42"/>
        <v>December</v>
      </c>
      <c r="E358" t="str">
        <f t="shared" si="43"/>
        <v>Dec</v>
      </c>
      <c r="F358" t="str">
        <f t="shared" si="44"/>
        <v>Dec-2026</v>
      </c>
      <c r="G358" t="str">
        <f t="shared" si="45"/>
        <v>Q4</v>
      </c>
      <c r="H358" t="str">
        <f t="shared" si="46"/>
        <v>Wednesday</v>
      </c>
      <c r="I358" t="str">
        <f t="shared" si="47"/>
        <v>No</v>
      </c>
    </row>
    <row r="359" spans="1:9" x14ac:dyDescent="0.25">
      <c r="A359" s="2">
        <v>46380</v>
      </c>
      <c r="B359">
        <f t="shared" si="40"/>
        <v>2026</v>
      </c>
      <c r="C359">
        <f t="shared" si="41"/>
        <v>12</v>
      </c>
      <c r="D359" t="str">
        <f t="shared" si="42"/>
        <v>December</v>
      </c>
      <c r="E359" t="str">
        <f t="shared" si="43"/>
        <v>Dec</v>
      </c>
      <c r="F359" t="str">
        <f t="shared" si="44"/>
        <v>Dec-2026</v>
      </c>
      <c r="G359" t="str">
        <f t="shared" si="45"/>
        <v>Q4</v>
      </c>
      <c r="H359" t="str">
        <f t="shared" si="46"/>
        <v>Thursday</v>
      </c>
      <c r="I359" t="str">
        <f t="shared" si="47"/>
        <v>No</v>
      </c>
    </row>
    <row r="360" spans="1:9" x14ac:dyDescent="0.25">
      <c r="A360" s="2">
        <v>46381</v>
      </c>
      <c r="B360">
        <f t="shared" si="40"/>
        <v>2026</v>
      </c>
      <c r="C360">
        <f t="shared" si="41"/>
        <v>12</v>
      </c>
      <c r="D360" t="str">
        <f t="shared" si="42"/>
        <v>December</v>
      </c>
      <c r="E360" t="str">
        <f t="shared" si="43"/>
        <v>Dec</v>
      </c>
      <c r="F360" t="str">
        <f t="shared" si="44"/>
        <v>Dec-2026</v>
      </c>
      <c r="G360" t="str">
        <f t="shared" si="45"/>
        <v>Q4</v>
      </c>
      <c r="H360" t="str">
        <f t="shared" si="46"/>
        <v>Friday</v>
      </c>
      <c r="I360" t="str">
        <f t="shared" si="47"/>
        <v>No</v>
      </c>
    </row>
    <row r="361" spans="1:9" x14ac:dyDescent="0.25">
      <c r="A361" s="2">
        <v>46382</v>
      </c>
      <c r="B361">
        <f t="shared" si="40"/>
        <v>2026</v>
      </c>
      <c r="C361">
        <f t="shared" si="41"/>
        <v>12</v>
      </c>
      <c r="D361" t="str">
        <f t="shared" si="42"/>
        <v>December</v>
      </c>
      <c r="E361" t="str">
        <f t="shared" si="43"/>
        <v>Dec</v>
      </c>
      <c r="F361" t="str">
        <f t="shared" si="44"/>
        <v>Dec-2026</v>
      </c>
      <c r="G361" t="str">
        <f t="shared" si="45"/>
        <v>Q4</v>
      </c>
      <c r="H361" t="str">
        <f t="shared" si="46"/>
        <v>Saturday</v>
      </c>
      <c r="I361" t="str">
        <f t="shared" si="47"/>
        <v>Yes</v>
      </c>
    </row>
    <row r="362" spans="1:9" x14ac:dyDescent="0.25">
      <c r="A362" s="2">
        <v>46383</v>
      </c>
      <c r="B362">
        <f t="shared" si="40"/>
        <v>2026</v>
      </c>
      <c r="C362">
        <f t="shared" si="41"/>
        <v>12</v>
      </c>
      <c r="D362" t="str">
        <f t="shared" si="42"/>
        <v>December</v>
      </c>
      <c r="E362" t="str">
        <f t="shared" si="43"/>
        <v>Dec</v>
      </c>
      <c r="F362" t="str">
        <f t="shared" si="44"/>
        <v>Dec-2026</v>
      </c>
      <c r="G362" t="str">
        <f t="shared" si="45"/>
        <v>Q4</v>
      </c>
      <c r="H362" t="str">
        <f t="shared" si="46"/>
        <v>Sunday</v>
      </c>
      <c r="I362" t="str">
        <f t="shared" si="47"/>
        <v>Yes</v>
      </c>
    </row>
    <row r="363" spans="1:9" x14ac:dyDescent="0.25">
      <c r="A363" s="2">
        <v>46384</v>
      </c>
      <c r="B363">
        <f t="shared" si="40"/>
        <v>2026</v>
      </c>
      <c r="C363">
        <f t="shared" si="41"/>
        <v>12</v>
      </c>
      <c r="D363" t="str">
        <f t="shared" si="42"/>
        <v>December</v>
      </c>
      <c r="E363" t="str">
        <f t="shared" si="43"/>
        <v>Dec</v>
      </c>
      <c r="F363" t="str">
        <f t="shared" si="44"/>
        <v>Dec-2026</v>
      </c>
      <c r="G363" t="str">
        <f t="shared" si="45"/>
        <v>Q4</v>
      </c>
      <c r="H363" t="str">
        <f t="shared" si="46"/>
        <v>Monday</v>
      </c>
      <c r="I363" t="str">
        <f t="shared" si="47"/>
        <v>No</v>
      </c>
    </row>
    <row r="364" spans="1:9" x14ac:dyDescent="0.25">
      <c r="A364" s="2">
        <v>46385</v>
      </c>
      <c r="B364">
        <f t="shared" si="40"/>
        <v>2026</v>
      </c>
      <c r="C364">
        <f t="shared" si="41"/>
        <v>12</v>
      </c>
      <c r="D364" t="str">
        <f t="shared" si="42"/>
        <v>December</v>
      </c>
      <c r="E364" t="str">
        <f t="shared" si="43"/>
        <v>Dec</v>
      </c>
      <c r="F364" t="str">
        <f t="shared" si="44"/>
        <v>Dec-2026</v>
      </c>
      <c r="G364" t="str">
        <f t="shared" si="45"/>
        <v>Q4</v>
      </c>
      <c r="H364" t="str">
        <f t="shared" si="46"/>
        <v>Tuesday</v>
      </c>
      <c r="I364" t="str">
        <f t="shared" si="47"/>
        <v>No</v>
      </c>
    </row>
    <row r="365" spans="1:9" x14ac:dyDescent="0.25">
      <c r="A365" s="2">
        <v>46386</v>
      </c>
      <c r="B365">
        <f t="shared" si="40"/>
        <v>2026</v>
      </c>
      <c r="C365">
        <f t="shared" si="41"/>
        <v>12</v>
      </c>
      <c r="D365" t="str">
        <f t="shared" si="42"/>
        <v>December</v>
      </c>
      <c r="E365" t="str">
        <f t="shared" si="43"/>
        <v>Dec</v>
      </c>
      <c r="F365" t="str">
        <f t="shared" si="44"/>
        <v>Dec-2026</v>
      </c>
      <c r="G365" t="str">
        <f t="shared" si="45"/>
        <v>Q4</v>
      </c>
      <c r="H365" t="str">
        <f t="shared" si="46"/>
        <v>Wednesday</v>
      </c>
      <c r="I365" t="str">
        <f t="shared" si="47"/>
        <v>No</v>
      </c>
    </row>
    <row r="366" spans="1:9" x14ac:dyDescent="0.25">
      <c r="A366" s="2">
        <v>46387</v>
      </c>
      <c r="B366">
        <f t="shared" si="40"/>
        <v>2026</v>
      </c>
      <c r="C366">
        <f t="shared" si="41"/>
        <v>12</v>
      </c>
      <c r="D366" t="str">
        <f t="shared" si="42"/>
        <v>December</v>
      </c>
      <c r="E366" t="str">
        <f t="shared" si="43"/>
        <v>Dec</v>
      </c>
      <c r="F366" t="str">
        <f t="shared" si="44"/>
        <v>Dec-2026</v>
      </c>
      <c r="G366" t="str">
        <f t="shared" si="45"/>
        <v>Q4</v>
      </c>
      <c r="H366" t="str">
        <f t="shared" si="46"/>
        <v>Thursday</v>
      </c>
      <c r="I366" t="str">
        <f t="shared" si="47"/>
        <v>No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Normal="100" workbookViewId="0">
      <selection activeCell="A8" sqref="A8"/>
    </sheetView>
  </sheetViews>
  <sheetFormatPr defaultColWidth="8.7109375" defaultRowHeight="15" x14ac:dyDescent="0.25"/>
  <cols>
    <col min="1" max="1" width="11" customWidth="1"/>
    <col min="2" max="2" width="24" customWidth="1"/>
    <col min="3" max="3" width="12" customWidth="1"/>
    <col min="4" max="5" width="11" customWidth="1"/>
    <col min="6" max="6" width="12" customWidth="1"/>
    <col min="7" max="7" width="11" customWidth="1"/>
  </cols>
  <sheetData>
    <row r="1" spans="1:7" ht="3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3" t="s">
        <v>16</v>
      </c>
      <c r="B2" s="3" t="s">
        <v>17</v>
      </c>
      <c r="C2" s="4">
        <f>AVERAGEIF(SupplierLeadTime_T[SupplierID],A2,SupplierLeadTime_T[LeadTimeDays])</f>
        <v>5.333333333333333</v>
      </c>
      <c r="D2">
        <f>_xlfn.MINIFS(SupplierLeadTime_T[LeadTimeDays],SupplierLeadTime_T[SupplierID],A2)</f>
        <v>4</v>
      </c>
      <c r="E2">
        <f>_xlfn.MAXIFS(SupplierLeadTime_T[LeadTimeDays],SupplierLeadTime_T[SupplierID],A2)</f>
        <v>7</v>
      </c>
      <c r="F2">
        <f>E2-D2</f>
        <v>3</v>
      </c>
      <c r="G2" s="5">
        <v>0.94</v>
      </c>
    </row>
    <row r="3" spans="1:7" x14ac:dyDescent="0.25">
      <c r="A3" s="3" t="s">
        <v>18</v>
      </c>
      <c r="B3" s="3" t="s">
        <v>19</v>
      </c>
      <c r="C3" s="4">
        <f>AVERAGEIF(SupplierLeadTime_T[SupplierID],A3,SupplierLeadTime_T[LeadTimeDays])</f>
        <v>7.5</v>
      </c>
      <c r="D3">
        <f>_xlfn.MINIFS(SupplierLeadTime_T[LeadTimeDays],SupplierLeadTime_T[SupplierID],A3)</f>
        <v>6</v>
      </c>
      <c r="E3">
        <f>_xlfn.MAXIFS(SupplierLeadTime_T[LeadTimeDays],SupplierLeadTime_T[SupplierID],A3)</f>
        <v>9</v>
      </c>
      <c r="F3">
        <f>E3-D3</f>
        <v>3</v>
      </c>
      <c r="G3" s="5">
        <v>0.88</v>
      </c>
    </row>
    <row r="4" spans="1:7" x14ac:dyDescent="0.25">
      <c r="A4" s="3" t="s">
        <v>20</v>
      </c>
      <c r="B4" s="3" t="s">
        <v>21</v>
      </c>
      <c r="C4" s="4">
        <f>AVERAGEIF(SupplierLeadTime_T[SupplierID],A4,SupplierLeadTime_T[LeadTimeDays])</f>
        <v>5</v>
      </c>
      <c r="D4">
        <f>_xlfn.MINIFS(SupplierLeadTime_T[LeadTimeDays],SupplierLeadTime_T[SupplierID],A4)</f>
        <v>4</v>
      </c>
      <c r="E4">
        <f>_xlfn.MAXIFS(SupplierLeadTime_T[LeadTimeDays],SupplierLeadTime_T[SupplierID],A4)</f>
        <v>6</v>
      </c>
      <c r="F4">
        <f>E4-D4</f>
        <v>2</v>
      </c>
      <c r="G4" s="5">
        <v>0.92</v>
      </c>
    </row>
    <row r="5" spans="1:7" x14ac:dyDescent="0.25">
      <c r="A5" s="3" t="s">
        <v>22</v>
      </c>
      <c r="B5" s="3" t="s">
        <v>23</v>
      </c>
      <c r="C5" s="4">
        <f>AVERAGEIF(SupplierLeadTime_T[SupplierID],A5,SupplierLeadTime_T[LeadTimeDays])</f>
        <v>9.1666666666666661</v>
      </c>
      <c r="D5">
        <f>_xlfn.MINIFS(SupplierLeadTime_T[LeadTimeDays],SupplierLeadTime_T[SupplierID],A5)</f>
        <v>8</v>
      </c>
      <c r="E5">
        <f>_xlfn.MAXIFS(SupplierLeadTime_T[LeadTimeDays],SupplierLeadTime_T[SupplierID],A5)</f>
        <v>11</v>
      </c>
      <c r="F5">
        <f>E5-D5</f>
        <v>3</v>
      </c>
      <c r="G5" s="5">
        <v>0.78</v>
      </c>
    </row>
    <row r="6" spans="1:7" x14ac:dyDescent="0.25">
      <c r="A6" s="3" t="s">
        <v>24</v>
      </c>
      <c r="B6" s="3" t="s">
        <v>25</v>
      </c>
      <c r="C6" s="4">
        <f>AVERAGEIF(SupplierLeadTime_T[SupplierID],A6,SupplierLeadTime_T[LeadTimeDays])</f>
        <v>4</v>
      </c>
      <c r="D6">
        <f>_xlfn.MINIFS(SupplierLeadTime_T[LeadTimeDays],SupplierLeadTime_T[SupplierID],A6)</f>
        <v>3</v>
      </c>
      <c r="E6">
        <f>_xlfn.MAXIFS(SupplierLeadTime_T[LeadTimeDays],SupplierLeadTime_T[SupplierID],A6)</f>
        <v>5</v>
      </c>
      <c r="F6">
        <f>E6-D6</f>
        <v>2</v>
      </c>
      <c r="G6" s="5">
        <v>0.96</v>
      </c>
    </row>
    <row r="8" spans="1:7" x14ac:dyDescent="0.25">
      <c r="A8" s="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opLeftCell="A13" zoomScaleNormal="100" workbookViewId="0">
      <selection activeCell="A33" sqref="A33"/>
    </sheetView>
  </sheetViews>
  <sheetFormatPr defaultColWidth="8.7109375" defaultRowHeight="15" x14ac:dyDescent="0.25"/>
  <cols>
    <col min="1" max="1" width="12" customWidth="1"/>
    <col min="2" max="2" width="10" customWidth="1"/>
    <col min="3" max="3" width="11" customWidth="1"/>
    <col min="4" max="4" width="24" customWidth="1"/>
    <col min="5" max="5" width="13" customWidth="1"/>
  </cols>
  <sheetData>
    <row r="1" spans="1:5" ht="30" x14ac:dyDescent="0.25">
      <c r="A1" s="1" t="s">
        <v>26</v>
      </c>
      <c r="B1" s="1" t="s">
        <v>27</v>
      </c>
      <c r="C1" s="1" t="s">
        <v>9</v>
      </c>
      <c r="D1" s="1" t="s">
        <v>10</v>
      </c>
      <c r="E1" s="1" t="s">
        <v>28</v>
      </c>
    </row>
    <row r="2" spans="1:5" x14ac:dyDescent="0.25">
      <c r="A2" s="7">
        <v>46023</v>
      </c>
      <c r="B2" s="3" t="s">
        <v>29</v>
      </c>
      <c r="C2" s="3" t="s">
        <v>16</v>
      </c>
      <c r="D2" t="str">
        <f>INDEX(Suppliers_T[SupplierName],MATCH(C2,Suppliers_T[SupplierID],0))</f>
        <v>Global Distributors Ltd</v>
      </c>
      <c r="E2" s="3">
        <v>5</v>
      </c>
    </row>
    <row r="3" spans="1:5" x14ac:dyDescent="0.25">
      <c r="A3" s="7">
        <v>46023</v>
      </c>
      <c r="B3" s="3" t="s">
        <v>29</v>
      </c>
      <c r="C3" s="3" t="s">
        <v>18</v>
      </c>
      <c r="D3" t="str">
        <f>INDEX(Suppliers_T[SupplierName],MATCH(C3,Suppliers_T[SupplierID],0))</f>
        <v>Premier Supplies Ltd</v>
      </c>
      <c r="E3" s="3">
        <v>7</v>
      </c>
    </row>
    <row r="4" spans="1:5" x14ac:dyDescent="0.25">
      <c r="A4" s="7">
        <v>46023</v>
      </c>
      <c r="B4" s="3" t="s">
        <v>29</v>
      </c>
      <c r="C4" s="3" t="s">
        <v>20</v>
      </c>
      <c r="D4" t="str">
        <f>INDEX(Suppliers_T[SupplierName],MATCH(C4,Suppliers_T[SupplierID],0))</f>
        <v>Bulk Wholesale Co</v>
      </c>
      <c r="E4" s="3">
        <v>5</v>
      </c>
    </row>
    <row r="5" spans="1:5" x14ac:dyDescent="0.25">
      <c r="A5" s="7">
        <v>46023</v>
      </c>
      <c r="B5" s="3" t="s">
        <v>29</v>
      </c>
      <c r="C5" s="3" t="s">
        <v>22</v>
      </c>
      <c r="D5" t="str">
        <f>INDEX(Suppliers_T[SupplierName],MATCH(C5,Suppliers_T[SupplierID],0))</f>
        <v>Quality Imports Ltd</v>
      </c>
      <c r="E5" s="3">
        <v>8</v>
      </c>
    </row>
    <row r="6" spans="1:5" x14ac:dyDescent="0.25">
      <c r="A6" s="7">
        <v>46023</v>
      </c>
      <c r="B6" s="3" t="s">
        <v>29</v>
      </c>
      <c r="C6" s="3" t="s">
        <v>24</v>
      </c>
      <c r="D6" t="str">
        <f>INDEX(Suppliers_T[SupplierName],MATCH(C6,Suppliers_T[SupplierID],0))</f>
        <v>Local Sourcing Ltd</v>
      </c>
      <c r="E6" s="3">
        <v>4</v>
      </c>
    </row>
    <row r="7" spans="1:5" x14ac:dyDescent="0.25">
      <c r="A7" s="7">
        <v>46054</v>
      </c>
      <c r="B7" s="3" t="s">
        <v>30</v>
      </c>
      <c r="C7" s="3" t="s">
        <v>16</v>
      </c>
      <c r="D7" t="str">
        <f>INDEX(Suppliers_T[SupplierName],MATCH(C7,Suppliers_T[SupplierID],0))</f>
        <v>Global Distributors Ltd</v>
      </c>
      <c r="E7" s="3">
        <v>4</v>
      </c>
    </row>
    <row r="8" spans="1:5" x14ac:dyDescent="0.25">
      <c r="A8" s="7">
        <v>46054</v>
      </c>
      <c r="B8" s="3" t="s">
        <v>30</v>
      </c>
      <c r="C8" s="3" t="s">
        <v>18</v>
      </c>
      <c r="D8" t="str">
        <f>INDEX(Suppliers_T[SupplierName],MATCH(C8,Suppliers_T[SupplierID],0))</f>
        <v>Premier Supplies Ltd</v>
      </c>
      <c r="E8" s="3">
        <v>8</v>
      </c>
    </row>
    <row r="9" spans="1:5" x14ac:dyDescent="0.25">
      <c r="A9" s="7">
        <v>46054</v>
      </c>
      <c r="B9" s="3" t="s">
        <v>30</v>
      </c>
      <c r="C9" s="3" t="s">
        <v>20</v>
      </c>
      <c r="D9" t="str">
        <f>INDEX(Suppliers_T[SupplierName],MATCH(C9,Suppliers_T[SupplierID],0))</f>
        <v>Bulk Wholesale Co</v>
      </c>
      <c r="E9" s="3">
        <v>5</v>
      </c>
    </row>
    <row r="10" spans="1:5" x14ac:dyDescent="0.25">
      <c r="A10" s="7">
        <v>46054</v>
      </c>
      <c r="B10" s="3" t="s">
        <v>30</v>
      </c>
      <c r="C10" s="3" t="s">
        <v>22</v>
      </c>
      <c r="D10" t="str">
        <f>INDEX(Suppliers_T[SupplierName],MATCH(C10,Suppliers_T[SupplierID],0))</f>
        <v>Quality Imports Ltd</v>
      </c>
      <c r="E10" s="3">
        <v>10</v>
      </c>
    </row>
    <row r="11" spans="1:5" x14ac:dyDescent="0.25">
      <c r="A11" s="7">
        <v>46054</v>
      </c>
      <c r="B11" s="3" t="s">
        <v>30</v>
      </c>
      <c r="C11" s="3" t="s">
        <v>24</v>
      </c>
      <c r="D11" t="str">
        <f>INDEX(Suppliers_T[SupplierName],MATCH(C11,Suppliers_T[SupplierID],0))</f>
        <v>Local Sourcing Ltd</v>
      </c>
      <c r="E11" s="3">
        <v>3</v>
      </c>
    </row>
    <row r="12" spans="1:5" x14ac:dyDescent="0.25">
      <c r="A12" s="7">
        <v>46082</v>
      </c>
      <c r="B12" s="3" t="s">
        <v>31</v>
      </c>
      <c r="C12" s="3" t="s">
        <v>16</v>
      </c>
      <c r="D12" t="str">
        <f>INDEX(Suppliers_T[SupplierName],MATCH(C12,Suppliers_T[SupplierID],0))</f>
        <v>Global Distributors Ltd</v>
      </c>
      <c r="E12" s="3">
        <v>6</v>
      </c>
    </row>
    <row r="13" spans="1:5" x14ac:dyDescent="0.25">
      <c r="A13" s="7">
        <v>46082</v>
      </c>
      <c r="B13" s="3" t="s">
        <v>31</v>
      </c>
      <c r="C13" s="3" t="s">
        <v>18</v>
      </c>
      <c r="D13" t="str">
        <f>INDEX(Suppliers_T[SupplierName],MATCH(C13,Suppliers_T[SupplierID],0))</f>
        <v>Premier Supplies Ltd</v>
      </c>
      <c r="E13" s="3">
        <v>9</v>
      </c>
    </row>
    <row r="14" spans="1:5" x14ac:dyDescent="0.25">
      <c r="A14" s="7">
        <v>46082</v>
      </c>
      <c r="B14" s="3" t="s">
        <v>31</v>
      </c>
      <c r="C14" s="3" t="s">
        <v>20</v>
      </c>
      <c r="D14" t="str">
        <f>INDEX(Suppliers_T[SupplierName],MATCH(C14,Suppliers_T[SupplierID],0))</f>
        <v>Bulk Wholesale Co</v>
      </c>
      <c r="E14" s="3">
        <v>4</v>
      </c>
    </row>
    <row r="15" spans="1:5" x14ac:dyDescent="0.25">
      <c r="A15" s="7">
        <v>46082</v>
      </c>
      <c r="B15" s="3" t="s">
        <v>31</v>
      </c>
      <c r="C15" s="3" t="s">
        <v>22</v>
      </c>
      <c r="D15" t="str">
        <f>INDEX(Suppliers_T[SupplierName],MATCH(C15,Suppliers_T[SupplierID],0))</f>
        <v>Quality Imports Ltd</v>
      </c>
      <c r="E15" s="3">
        <v>9</v>
      </c>
    </row>
    <row r="16" spans="1:5" x14ac:dyDescent="0.25">
      <c r="A16" s="7">
        <v>46082</v>
      </c>
      <c r="B16" s="3" t="s">
        <v>31</v>
      </c>
      <c r="C16" s="3" t="s">
        <v>24</v>
      </c>
      <c r="D16" t="str">
        <f>INDEX(Suppliers_T[SupplierName],MATCH(C16,Suppliers_T[SupplierID],0))</f>
        <v>Local Sourcing Ltd</v>
      </c>
      <c r="E16" s="3">
        <v>5</v>
      </c>
    </row>
    <row r="17" spans="1:5" x14ac:dyDescent="0.25">
      <c r="A17" s="7">
        <v>46113</v>
      </c>
      <c r="B17" s="3" t="s">
        <v>32</v>
      </c>
      <c r="C17" s="3" t="s">
        <v>16</v>
      </c>
      <c r="D17" t="str">
        <f>INDEX(Suppliers_T[SupplierName],MATCH(C17,Suppliers_T[SupplierID],0))</f>
        <v>Global Distributors Ltd</v>
      </c>
      <c r="E17" s="3">
        <v>5</v>
      </c>
    </row>
    <row r="18" spans="1:5" x14ac:dyDescent="0.25">
      <c r="A18" s="7">
        <v>46113</v>
      </c>
      <c r="B18" s="3" t="s">
        <v>32</v>
      </c>
      <c r="C18" s="3" t="s">
        <v>18</v>
      </c>
      <c r="D18" t="str">
        <f>INDEX(Suppliers_T[SupplierName],MATCH(C18,Suppliers_T[SupplierID],0))</f>
        <v>Premier Supplies Ltd</v>
      </c>
      <c r="E18" s="3">
        <v>7</v>
      </c>
    </row>
    <row r="19" spans="1:5" x14ac:dyDescent="0.25">
      <c r="A19" s="7">
        <v>46113</v>
      </c>
      <c r="B19" s="3" t="s">
        <v>32</v>
      </c>
      <c r="C19" s="3" t="s">
        <v>20</v>
      </c>
      <c r="D19" t="str">
        <f>INDEX(Suppliers_T[SupplierName],MATCH(C19,Suppliers_T[SupplierID],0))</f>
        <v>Bulk Wholesale Co</v>
      </c>
      <c r="E19" s="3">
        <v>6</v>
      </c>
    </row>
    <row r="20" spans="1:5" x14ac:dyDescent="0.25">
      <c r="A20" s="7">
        <v>46113</v>
      </c>
      <c r="B20" s="3" t="s">
        <v>32</v>
      </c>
      <c r="C20" s="3" t="s">
        <v>22</v>
      </c>
      <c r="D20" t="str">
        <f>INDEX(Suppliers_T[SupplierName],MATCH(C20,Suppliers_T[SupplierID],0))</f>
        <v>Quality Imports Ltd</v>
      </c>
      <c r="E20" s="3">
        <v>11</v>
      </c>
    </row>
    <row r="21" spans="1:5" x14ac:dyDescent="0.25">
      <c r="A21" s="7">
        <v>46113</v>
      </c>
      <c r="B21" s="3" t="s">
        <v>32</v>
      </c>
      <c r="C21" s="3" t="s">
        <v>24</v>
      </c>
      <c r="D21" t="str">
        <f>INDEX(Suppliers_T[SupplierName],MATCH(C21,Suppliers_T[SupplierID],0))</f>
        <v>Local Sourcing Ltd</v>
      </c>
      <c r="E21" s="3">
        <v>4</v>
      </c>
    </row>
    <row r="22" spans="1:5" x14ac:dyDescent="0.25">
      <c r="A22" s="7">
        <v>46143</v>
      </c>
      <c r="B22" s="3" t="s">
        <v>33</v>
      </c>
      <c r="C22" s="3" t="s">
        <v>16</v>
      </c>
      <c r="D22" t="str">
        <f>INDEX(Suppliers_T[SupplierName],MATCH(C22,Suppliers_T[SupplierID],0))</f>
        <v>Global Distributors Ltd</v>
      </c>
      <c r="E22" s="3">
        <v>5</v>
      </c>
    </row>
    <row r="23" spans="1:5" x14ac:dyDescent="0.25">
      <c r="A23" s="7">
        <v>46143</v>
      </c>
      <c r="B23" s="3" t="s">
        <v>33</v>
      </c>
      <c r="C23" s="3" t="s">
        <v>18</v>
      </c>
      <c r="D23" t="str">
        <f>INDEX(Suppliers_T[SupplierName],MATCH(C23,Suppliers_T[SupplierID],0))</f>
        <v>Premier Supplies Ltd</v>
      </c>
      <c r="E23" s="3">
        <v>6</v>
      </c>
    </row>
    <row r="24" spans="1:5" x14ac:dyDescent="0.25">
      <c r="A24" s="7">
        <v>46143</v>
      </c>
      <c r="B24" s="3" t="s">
        <v>33</v>
      </c>
      <c r="C24" s="3" t="s">
        <v>20</v>
      </c>
      <c r="D24" t="str">
        <f>INDEX(Suppliers_T[SupplierName],MATCH(C24,Suppliers_T[SupplierID],0))</f>
        <v>Bulk Wholesale Co</v>
      </c>
      <c r="E24" s="3">
        <v>5</v>
      </c>
    </row>
    <row r="25" spans="1:5" x14ac:dyDescent="0.25">
      <c r="A25" s="7">
        <v>46143</v>
      </c>
      <c r="B25" s="3" t="s">
        <v>33</v>
      </c>
      <c r="C25" s="3" t="s">
        <v>22</v>
      </c>
      <c r="D25" t="str">
        <f>INDEX(Suppliers_T[SupplierName],MATCH(C25,Suppliers_T[SupplierID],0))</f>
        <v>Quality Imports Ltd</v>
      </c>
      <c r="E25" s="3">
        <v>8</v>
      </c>
    </row>
    <row r="26" spans="1:5" x14ac:dyDescent="0.25">
      <c r="A26" s="7">
        <v>46143</v>
      </c>
      <c r="B26" s="3" t="s">
        <v>33</v>
      </c>
      <c r="C26" s="3" t="s">
        <v>24</v>
      </c>
      <c r="D26" t="str">
        <f>INDEX(Suppliers_T[SupplierName],MATCH(C26,Suppliers_T[SupplierID],0))</f>
        <v>Local Sourcing Ltd</v>
      </c>
      <c r="E26" s="3">
        <v>4</v>
      </c>
    </row>
    <row r="27" spans="1:5" x14ac:dyDescent="0.25">
      <c r="A27" s="7">
        <v>46174</v>
      </c>
      <c r="B27" s="3" t="s">
        <v>34</v>
      </c>
      <c r="C27" s="3" t="s">
        <v>16</v>
      </c>
      <c r="D27" t="str">
        <f>INDEX(Suppliers_T[SupplierName],MATCH(C27,Suppliers_T[SupplierID],0))</f>
        <v>Global Distributors Ltd</v>
      </c>
      <c r="E27" s="3">
        <v>7</v>
      </c>
    </row>
    <row r="28" spans="1:5" x14ac:dyDescent="0.25">
      <c r="A28" s="7">
        <v>46174</v>
      </c>
      <c r="B28" s="3" t="s">
        <v>34</v>
      </c>
      <c r="C28" s="3" t="s">
        <v>18</v>
      </c>
      <c r="D28" t="str">
        <f>INDEX(Suppliers_T[SupplierName],MATCH(C28,Suppliers_T[SupplierID],0))</f>
        <v>Premier Supplies Ltd</v>
      </c>
      <c r="E28" s="3">
        <v>8</v>
      </c>
    </row>
    <row r="29" spans="1:5" x14ac:dyDescent="0.25">
      <c r="A29" s="7">
        <v>46174</v>
      </c>
      <c r="B29" s="3" t="s">
        <v>34</v>
      </c>
      <c r="C29" s="3" t="s">
        <v>20</v>
      </c>
      <c r="D29" t="str">
        <f>INDEX(Suppliers_T[SupplierName],MATCH(C29,Suppliers_T[SupplierID],0))</f>
        <v>Bulk Wholesale Co</v>
      </c>
      <c r="E29" s="3">
        <v>5</v>
      </c>
    </row>
    <row r="30" spans="1:5" x14ac:dyDescent="0.25">
      <c r="A30" s="7">
        <v>46174</v>
      </c>
      <c r="B30" s="3" t="s">
        <v>34</v>
      </c>
      <c r="C30" s="3" t="s">
        <v>22</v>
      </c>
      <c r="D30" t="str">
        <f>INDEX(Suppliers_T[SupplierName],MATCH(C30,Suppliers_T[SupplierID],0))</f>
        <v>Quality Imports Ltd</v>
      </c>
      <c r="E30" s="3">
        <v>9</v>
      </c>
    </row>
    <row r="31" spans="1:5" x14ac:dyDescent="0.25">
      <c r="A31" s="7">
        <v>46174</v>
      </c>
      <c r="B31" s="3" t="s">
        <v>34</v>
      </c>
      <c r="C31" s="3" t="s">
        <v>24</v>
      </c>
      <c r="D31" t="str">
        <f>INDEX(Suppliers_T[SupplierName],MATCH(C31,Suppliers_T[SupplierID],0))</f>
        <v>Local Sourcing Ltd</v>
      </c>
      <c r="E31" s="3">
        <v>4</v>
      </c>
    </row>
    <row r="33" spans="1:1" x14ac:dyDescent="0.25">
      <c r="A33" s="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4"/>
  <sheetViews>
    <sheetView topLeftCell="K43" zoomScaleNormal="100" workbookViewId="0">
      <selection activeCell="U33" sqref="U33"/>
    </sheetView>
  </sheetViews>
  <sheetFormatPr defaultColWidth="8.7109375" defaultRowHeight="15" x14ac:dyDescent="0.25"/>
  <cols>
    <col min="1" max="1" width="10" customWidth="1"/>
    <col min="2" max="2" width="26" customWidth="1"/>
    <col min="3" max="3" width="20" customWidth="1"/>
    <col min="4" max="4" width="11" customWidth="1"/>
    <col min="5" max="5" width="24" customWidth="1"/>
    <col min="6" max="7" width="11" customWidth="1"/>
    <col min="8" max="8" width="13" customWidth="1"/>
    <col min="9" max="9" width="10" customWidth="1"/>
    <col min="10" max="11" width="12" customWidth="1"/>
    <col min="12" max="12" width="8" customWidth="1"/>
    <col min="13" max="13" width="13" customWidth="1"/>
    <col min="14" max="14" width="15" customWidth="1"/>
    <col min="15" max="15" width="12" customWidth="1"/>
    <col min="16" max="16" width="16" customWidth="1"/>
    <col min="17" max="17" width="14" customWidth="1"/>
    <col min="18" max="18" width="10" customWidth="1"/>
    <col min="19" max="20" width="16" customWidth="1"/>
    <col min="21" max="21" width="13" customWidth="1"/>
    <col min="22" max="22" width="14" customWidth="1"/>
    <col min="23" max="23" width="15" style="15" customWidth="1"/>
  </cols>
  <sheetData>
    <row r="1" spans="1:23" ht="30" x14ac:dyDescent="0.25">
      <c r="A1" s="1" t="s">
        <v>35</v>
      </c>
      <c r="B1" s="1" t="s">
        <v>36</v>
      </c>
      <c r="C1" s="1" t="s">
        <v>37</v>
      </c>
      <c r="D1" s="1" t="s">
        <v>9</v>
      </c>
      <c r="E1" s="1" t="s">
        <v>10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11</v>
      </c>
      <c r="K1" s="1" t="s">
        <v>14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4" t="s">
        <v>53</v>
      </c>
    </row>
    <row r="2" spans="1:23" x14ac:dyDescent="0.25">
      <c r="A2" s="3" t="s">
        <v>54</v>
      </c>
      <c r="B2" s="3" t="s">
        <v>55</v>
      </c>
      <c r="C2" s="3" t="s">
        <v>56</v>
      </c>
      <c r="D2" s="3" t="s">
        <v>16</v>
      </c>
      <c r="E2" t="str">
        <f>INDEX(Suppliers_T[SupplierName],MATCH(D2,Suppliers_T[SupplierID],0))</f>
        <v>Global Distributors Ltd</v>
      </c>
      <c r="F2" s="8">
        <v>250</v>
      </c>
      <c r="G2" s="3">
        <v>20</v>
      </c>
      <c r="H2" s="9">
        <v>7.27</v>
      </c>
      <c r="I2">
        <f>SUMIFS(MonthlyMovement_T[Closing],MonthlyMovement_T[SKU],A2,MonthlyMovement_T[Month],"Jun-2026")</f>
        <v>261</v>
      </c>
      <c r="J2" s="4">
        <f>INDEX(Suppliers_T[AvgLeadTime],MATCH(D2,Suppliers_T[SupplierID],0))</f>
        <v>5.333333333333333</v>
      </c>
      <c r="K2">
        <f>INDEX(Suppliers_T[LeadTimeRange],MATCH(D2,Suppliers_T[SupplierID],0))</f>
        <v>3</v>
      </c>
      <c r="L2">
        <f t="shared" ref="L2:L31" si="0">ROUND(H2*(J2+K2)+G2,0)</f>
        <v>81</v>
      </c>
      <c r="M2" s="4">
        <f t="shared" ref="M2:M31" si="1">IFERROR(I2/H2,0)</f>
        <v>35.900962861072905</v>
      </c>
      <c r="N2">
        <f t="shared" ref="N2:N31" si="2">MAX(ROUND((L2*2)-I2,0),0)</f>
        <v>0</v>
      </c>
      <c r="O2" s="10">
        <f t="shared" ref="O2:O31" si="3">I2*F2</f>
        <v>65250</v>
      </c>
      <c r="P2" s="10">
        <f t="shared" ref="P2:P31" si="4">H2*365*F2</f>
        <v>663387.49999999988</v>
      </c>
      <c r="Q2" t="str">
        <f t="shared" ref="Q2:Q31" si="5">IF(I2=0,"Out of Stock",IF(I2&lt;0.5*L2,"Critical",IF(I2&lt;=L2,"Reorder",IF(I2&gt;2*L2,"Overstock","Healthy"))))</f>
        <v>Overstock</v>
      </c>
      <c r="R2" t="str">
        <f t="shared" ref="R2:R31" si="6">IF((_xlfn.RANK.EQ(P2,$P$2:$P$31)/30)&lt;=0.2,"A",IF((_xlfn.RANK.EQ(P2,$P$2:$P$31)/30)&lt;=0.5,"B","C"))</f>
        <v>C</v>
      </c>
      <c r="S2" s="2">
        <f>IFERROR(_xlfn.MAXIFS(Transactions_T[Date],Transactions_T[SKU],A2),"")</f>
        <v>46196</v>
      </c>
      <c r="T2">
        <f t="shared" ref="T2:T31" si="7">IF(S2="","",DATE(2026,6,30)-S2)</f>
        <v>7</v>
      </c>
      <c r="U2" t="str">
        <f t="shared" ref="U2:U31" si="8">IF(OR(Q2="Out of Stock",Q2="Critical",Q2="Reorder"),"Yes","No")</f>
        <v>No</v>
      </c>
      <c r="V2">
        <f t="shared" ref="V2:V31" si="9">_xlfn.SWITCH(Q2,"Out of Stock",0,"Critical",1,"Reorder",2,"Healthy",3,"Overstock",4,5)</f>
        <v>4</v>
      </c>
      <c r="W2" s="15">
        <f t="shared" ref="W2:W31" si="10">IF(I2=0,"Already Out",DATE(2026,6,30)+ROUNDDOWN(M2,0))</f>
        <v>46238</v>
      </c>
    </row>
    <row r="3" spans="1:23" x14ac:dyDescent="0.25">
      <c r="A3" s="3" t="s">
        <v>57</v>
      </c>
      <c r="B3" s="3" t="s">
        <v>58</v>
      </c>
      <c r="C3" s="3" t="s">
        <v>56</v>
      </c>
      <c r="D3" s="3" t="s">
        <v>16</v>
      </c>
      <c r="E3" t="str">
        <f>INDEX(Suppliers_T[SupplierName],MATCH(D3,Suppliers_T[SupplierID],0))</f>
        <v>Global Distributors Ltd</v>
      </c>
      <c r="F3" s="8">
        <v>245</v>
      </c>
      <c r="G3" s="3">
        <v>20</v>
      </c>
      <c r="H3" s="9">
        <v>10.71</v>
      </c>
      <c r="I3">
        <f>SUMIFS(MonthlyMovement_T[Closing],MonthlyMovement_T[SKU],A3,MonthlyMovement_T[Month],"Jun-2026")</f>
        <v>134</v>
      </c>
      <c r="J3" s="4">
        <f>INDEX(Suppliers_T[AvgLeadTime],MATCH(D3,Suppliers_T[SupplierID],0))</f>
        <v>5.333333333333333</v>
      </c>
      <c r="K3">
        <f>INDEX(Suppliers_T[LeadTimeRange],MATCH(D3,Suppliers_T[SupplierID],0))</f>
        <v>3</v>
      </c>
      <c r="L3">
        <f t="shared" si="0"/>
        <v>109</v>
      </c>
      <c r="M3" s="4">
        <f t="shared" si="1"/>
        <v>12.511671335200745</v>
      </c>
      <c r="N3">
        <f t="shared" si="2"/>
        <v>84</v>
      </c>
      <c r="O3" s="10">
        <f t="shared" si="3"/>
        <v>32830</v>
      </c>
      <c r="P3" s="10">
        <f t="shared" si="4"/>
        <v>957741.75</v>
      </c>
      <c r="Q3" t="str">
        <f t="shared" si="5"/>
        <v>Healthy</v>
      </c>
      <c r="R3" t="str">
        <f t="shared" si="6"/>
        <v>C</v>
      </c>
      <c r="S3" s="2">
        <f>IFERROR(_xlfn.MAXIFS(Transactions_T[Date],Transactions_T[SKU],A3),"")</f>
        <v>46190</v>
      </c>
      <c r="T3">
        <f t="shared" si="7"/>
        <v>13</v>
      </c>
      <c r="U3" t="str">
        <f t="shared" si="8"/>
        <v>No</v>
      </c>
      <c r="V3">
        <f t="shared" si="9"/>
        <v>3</v>
      </c>
      <c r="W3" s="15">
        <f t="shared" si="10"/>
        <v>46215</v>
      </c>
    </row>
    <row r="4" spans="1:23" x14ac:dyDescent="0.25">
      <c r="A4" s="3" t="s">
        <v>59</v>
      </c>
      <c r="B4" s="3" t="s">
        <v>60</v>
      </c>
      <c r="C4" s="3" t="s">
        <v>56</v>
      </c>
      <c r="D4" s="3" t="s">
        <v>22</v>
      </c>
      <c r="E4" t="str">
        <f>INDEX(Suppliers_T[SupplierName],MATCH(D4,Suppliers_T[SupplierID],0))</f>
        <v>Quality Imports Ltd</v>
      </c>
      <c r="F4" s="8">
        <v>240</v>
      </c>
      <c r="G4" s="3">
        <v>30</v>
      </c>
      <c r="H4" s="9">
        <v>11.53</v>
      </c>
      <c r="I4">
        <f>SUMIFS(MonthlyMovement_T[Closing],MonthlyMovement_T[SKU],A4,MonthlyMovement_T[Month],"Jun-2026")</f>
        <v>127</v>
      </c>
      <c r="J4" s="4">
        <f>INDEX(Suppliers_T[AvgLeadTime],MATCH(D4,Suppliers_T[SupplierID],0))</f>
        <v>9.1666666666666661</v>
      </c>
      <c r="K4">
        <f>INDEX(Suppliers_T[LeadTimeRange],MATCH(D4,Suppliers_T[SupplierID],0))</f>
        <v>3</v>
      </c>
      <c r="L4">
        <f t="shared" si="0"/>
        <v>170</v>
      </c>
      <c r="M4" s="4">
        <f t="shared" si="1"/>
        <v>11.014744145706853</v>
      </c>
      <c r="N4">
        <f t="shared" si="2"/>
        <v>213</v>
      </c>
      <c r="O4" s="10">
        <f t="shared" si="3"/>
        <v>30480</v>
      </c>
      <c r="P4" s="10">
        <f t="shared" si="4"/>
        <v>1010028</v>
      </c>
      <c r="Q4" t="str">
        <f t="shared" si="5"/>
        <v>Reorder</v>
      </c>
      <c r="R4" t="str">
        <f t="shared" si="6"/>
        <v>C</v>
      </c>
      <c r="S4" s="2">
        <f>IFERROR(_xlfn.MAXIFS(Transactions_T[Date],Transactions_T[SKU],A4),"")</f>
        <v>46191</v>
      </c>
      <c r="T4">
        <f t="shared" si="7"/>
        <v>12</v>
      </c>
      <c r="U4" t="str">
        <f t="shared" si="8"/>
        <v>Yes</v>
      </c>
      <c r="V4">
        <f t="shared" si="9"/>
        <v>2</v>
      </c>
      <c r="W4" s="15">
        <f t="shared" si="10"/>
        <v>46214</v>
      </c>
    </row>
    <row r="5" spans="1:23" x14ac:dyDescent="0.25">
      <c r="A5" s="3" t="s">
        <v>61</v>
      </c>
      <c r="B5" s="3" t="s">
        <v>62</v>
      </c>
      <c r="C5" s="3" t="s">
        <v>56</v>
      </c>
      <c r="D5" s="3" t="s">
        <v>20</v>
      </c>
      <c r="E5" t="str">
        <f>INDEX(Suppliers_T[SupplierName],MATCH(D5,Suppliers_T[SupplierID],0))</f>
        <v>Bulk Wholesale Co</v>
      </c>
      <c r="F5" s="8">
        <v>100</v>
      </c>
      <c r="G5" s="3">
        <v>40</v>
      </c>
      <c r="H5" s="9">
        <v>7.79</v>
      </c>
      <c r="I5">
        <f>SUMIFS(MonthlyMovement_T[Closing],MonthlyMovement_T[SKU],A5,MonthlyMovement_T[Month],"Jun-2026")</f>
        <v>296</v>
      </c>
      <c r="J5" s="4">
        <f>INDEX(Suppliers_T[AvgLeadTime],MATCH(D5,Suppliers_T[SupplierID],0))</f>
        <v>5</v>
      </c>
      <c r="K5">
        <f>INDEX(Suppliers_T[LeadTimeRange],MATCH(D5,Suppliers_T[SupplierID],0))</f>
        <v>2</v>
      </c>
      <c r="L5">
        <f t="shared" si="0"/>
        <v>95</v>
      </c>
      <c r="M5" s="4">
        <f t="shared" si="1"/>
        <v>37.997432605905004</v>
      </c>
      <c r="N5">
        <f t="shared" si="2"/>
        <v>0</v>
      </c>
      <c r="O5" s="10">
        <f t="shared" si="3"/>
        <v>29600</v>
      </c>
      <c r="P5" s="10">
        <f t="shared" si="4"/>
        <v>284335</v>
      </c>
      <c r="Q5" t="str">
        <f t="shared" si="5"/>
        <v>Overstock</v>
      </c>
      <c r="R5" t="str">
        <f t="shared" si="6"/>
        <v>C</v>
      </c>
      <c r="S5" s="2">
        <f>IFERROR(_xlfn.MAXIFS(Transactions_T[Date],Transactions_T[SKU],A5),"")</f>
        <v>46197</v>
      </c>
      <c r="T5">
        <f t="shared" si="7"/>
        <v>6</v>
      </c>
      <c r="U5" t="str">
        <f t="shared" si="8"/>
        <v>No</v>
      </c>
      <c r="V5">
        <f t="shared" si="9"/>
        <v>4</v>
      </c>
      <c r="W5" s="15">
        <f t="shared" si="10"/>
        <v>46240</v>
      </c>
    </row>
    <row r="6" spans="1:23" x14ac:dyDescent="0.25">
      <c r="A6" s="3" t="s">
        <v>63</v>
      </c>
      <c r="B6" s="3" t="s">
        <v>64</v>
      </c>
      <c r="C6" s="3" t="s">
        <v>56</v>
      </c>
      <c r="D6" s="3" t="s">
        <v>16</v>
      </c>
      <c r="E6" t="str">
        <f>INDEX(Suppliers_T[SupplierName],MATCH(D6,Suppliers_T[SupplierID],0))</f>
        <v>Global Distributors Ltd</v>
      </c>
      <c r="F6" s="8">
        <v>180</v>
      </c>
      <c r="G6" s="3">
        <v>25</v>
      </c>
      <c r="H6" s="9">
        <v>9.58</v>
      </c>
      <c r="I6">
        <f>SUMIFS(MonthlyMovement_T[Closing],MonthlyMovement_T[SKU],A6,MonthlyMovement_T[Month],"Jun-2026")</f>
        <v>170</v>
      </c>
      <c r="J6" s="4">
        <f>INDEX(Suppliers_T[AvgLeadTime],MATCH(D6,Suppliers_T[SupplierID],0))</f>
        <v>5.333333333333333</v>
      </c>
      <c r="K6">
        <f>INDEX(Suppliers_T[LeadTimeRange],MATCH(D6,Suppliers_T[SupplierID],0))</f>
        <v>3</v>
      </c>
      <c r="L6">
        <f t="shared" si="0"/>
        <v>105</v>
      </c>
      <c r="M6" s="4">
        <f t="shared" si="1"/>
        <v>17.745302713987474</v>
      </c>
      <c r="N6">
        <f t="shared" si="2"/>
        <v>40</v>
      </c>
      <c r="O6" s="10">
        <f t="shared" si="3"/>
        <v>30600</v>
      </c>
      <c r="P6" s="10">
        <f t="shared" si="4"/>
        <v>629406</v>
      </c>
      <c r="Q6" t="str">
        <f t="shared" si="5"/>
        <v>Healthy</v>
      </c>
      <c r="R6" t="str">
        <f t="shared" si="6"/>
        <v>C</v>
      </c>
      <c r="S6" s="2">
        <f>IFERROR(_xlfn.MAXIFS(Transactions_T[Date],Transactions_T[SKU],A6),"")</f>
        <v>46195</v>
      </c>
      <c r="T6">
        <f t="shared" si="7"/>
        <v>8</v>
      </c>
      <c r="U6" t="str">
        <f t="shared" si="8"/>
        <v>No</v>
      </c>
      <c r="V6">
        <f t="shared" si="9"/>
        <v>3</v>
      </c>
      <c r="W6" s="15">
        <f t="shared" si="10"/>
        <v>46220</v>
      </c>
    </row>
    <row r="7" spans="1:23" x14ac:dyDescent="0.25">
      <c r="A7" s="3" t="s">
        <v>65</v>
      </c>
      <c r="B7" s="3" t="s">
        <v>66</v>
      </c>
      <c r="C7" s="3" t="s">
        <v>67</v>
      </c>
      <c r="D7" s="3" t="s">
        <v>18</v>
      </c>
      <c r="E7" t="str">
        <f>INDEX(Suppliers_T[SupplierName],MATCH(D7,Suppliers_T[SupplierID],0))</f>
        <v>Premier Supplies Ltd</v>
      </c>
      <c r="F7" s="8">
        <v>450</v>
      </c>
      <c r="G7" s="3">
        <v>20</v>
      </c>
      <c r="H7" s="9">
        <v>4.6100000000000003</v>
      </c>
      <c r="I7">
        <f>SUMIFS(MonthlyMovement_T[Closing],MonthlyMovement_T[SKU],A7,MonthlyMovement_T[Month],"Jun-2026")</f>
        <v>239</v>
      </c>
      <c r="J7" s="4">
        <f>INDEX(Suppliers_T[AvgLeadTime],MATCH(D7,Suppliers_T[SupplierID],0))</f>
        <v>7.5</v>
      </c>
      <c r="K7">
        <f>INDEX(Suppliers_T[LeadTimeRange],MATCH(D7,Suppliers_T[SupplierID],0))</f>
        <v>3</v>
      </c>
      <c r="L7">
        <f t="shared" si="0"/>
        <v>68</v>
      </c>
      <c r="M7" s="4">
        <f t="shared" si="1"/>
        <v>51.843817787418651</v>
      </c>
      <c r="N7">
        <f t="shared" si="2"/>
        <v>0</v>
      </c>
      <c r="O7" s="10">
        <f t="shared" si="3"/>
        <v>107550</v>
      </c>
      <c r="P7" s="10">
        <f t="shared" si="4"/>
        <v>757192.5</v>
      </c>
      <c r="Q7" t="str">
        <f t="shared" si="5"/>
        <v>Overstock</v>
      </c>
      <c r="R7" t="str">
        <f t="shared" si="6"/>
        <v>C</v>
      </c>
      <c r="S7" s="2">
        <f>IFERROR(_xlfn.MAXIFS(Transactions_T[Date],Transactions_T[SKU],A7),"")</f>
        <v>46068</v>
      </c>
      <c r="T7">
        <f t="shared" si="7"/>
        <v>135</v>
      </c>
      <c r="U7" t="str">
        <f t="shared" si="8"/>
        <v>No</v>
      </c>
      <c r="V7">
        <f t="shared" si="9"/>
        <v>4</v>
      </c>
      <c r="W7" s="15">
        <f t="shared" si="10"/>
        <v>46254</v>
      </c>
    </row>
    <row r="8" spans="1:23" x14ac:dyDescent="0.25">
      <c r="A8" s="3" t="s">
        <v>68</v>
      </c>
      <c r="B8" s="3" t="s">
        <v>69</v>
      </c>
      <c r="C8" s="3" t="s">
        <v>67</v>
      </c>
      <c r="D8" s="3" t="s">
        <v>18</v>
      </c>
      <c r="E8" t="str">
        <f>INDEX(Suppliers_T[SupplierName],MATCH(D8,Suppliers_T[SupplierID],0))</f>
        <v>Premier Supplies Ltd</v>
      </c>
      <c r="F8" s="8">
        <v>220</v>
      </c>
      <c r="G8" s="3">
        <v>20</v>
      </c>
      <c r="H8" s="9">
        <v>5.03</v>
      </c>
      <c r="I8">
        <f>SUMIFS(MonthlyMovement_T[Closing],MonthlyMovement_T[SKU],A8,MonthlyMovement_T[Month],"Jun-2026")</f>
        <v>126</v>
      </c>
      <c r="J8" s="4">
        <f>INDEX(Suppliers_T[AvgLeadTime],MATCH(D8,Suppliers_T[SupplierID],0))</f>
        <v>7.5</v>
      </c>
      <c r="K8">
        <f>INDEX(Suppliers_T[LeadTimeRange],MATCH(D8,Suppliers_T[SupplierID],0))</f>
        <v>3</v>
      </c>
      <c r="L8">
        <f t="shared" si="0"/>
        <v>73</v>
      </c>
      <c r="M8" s="4">
        <f t="shared" si="1"/>
        <v>25.049701789264411</v>
      </c>
      <c r="N8">
        <f t="shared" si="2"/>
        <v>20</v>
      </c>
      <c r="O8" s="10">
        <f t="shared" si="3"/>
        <v>27720</v>
      </c>
      <c r="P8" s="10">
        <f t="shared" si="4"/>
        <v>403909</v>
      </c>
      <c r="Q8" t="str">
        <f t="shared" si="5"/>
        <v>Healthy</v>
      </c>
      <c r="R8" t="str">
        <f t="shared" si="6"/>
        <v>C</v>
      </c>
      <c r="S8" s="2">
        <f>IFERROR(_xlfn.MAXIFS(Transactions_T[Date],Transactions_T[SKU],A8),"")</f>
        <v>46202</v>
      </c>
      <c r="T8">
        <f t="shared" si="7"/>
        <v>1</v>
      </c>
      <c r="U8" t="str">
        <f t="shared" si="8"/>
        <v>No</v>
      </c>
      <c r="V8">
        <f t="shared" si="9"/>
        <v>3</v>
      </c>
      <c r="W8" s="15">
        <f t="shared" si="10"/>
        <v>46228</v>
      </c>
    </row>
    <row r="9" spans="1:23" x14ac:dyDescent="0.25">
      <c r="A9" s="3" t="s">
        <v>70</v>
      </c>
      <c r="B9" s="3" t="s">
        <v>71</v>
      </c>
      <c r="C9" s="3" t="s">
        <v>67</v>
      </c>
      <c r="D9" s="3" t="s">
        <v>18</v>
      </c>
      <c r="E9" t="str">
        <f>INDEX(Suppliers_T[SupplierName],MATCH(D9,Suppliers_T[SupplierID],0))</f>
        <v>Premier Supplies Ltd</v>
      </c>
      <c r="F9" s="8">
        <v>550</v>
      </c>
      <c r="G9" s="3">
        <v>25</v>
      </c>
      <c r="H9" s="9">
        <v>7.95</v>
      </c>
      <c r="I9">
        <f>SUMIFS(MonthlyMovement_T[Closing],MonthlyMovement_T[SKU],A9,MonthlyMovement_T[Month],"Jun-2026")</f>
        <v>83</v>
      </c>
      <c r="J9" s="4">
        <f>INDEX(Suppliers_T[AvgLeadTime],MATCH(D9,Suppliers_T[SupplierID],0))</f>
        <v>7.5</v>
      </c>
      <c r="K9">
        <f>INDEX(Suppliers_T[LeadTimeRange],MATCH(D9,Suppliers_T[SupplierID],0))</f>
        <v>3</v>
      </c>
      <c r="L9">
        <f t="shared" si="0"/>
        <v>108</v>
      </c>
      <c r="M9" s="4">
        <f t="shared" si="1"/>
        <v>10.440251572327044</v>
      </c>
      <c r="N9">
        <f t="shared" si="2"/>
        <v>133</v>
      </c>
      <c r="O9" s="10">
        <f t="shared" si="3"/>
        <v>45650</v>
      </c>
      <c r="P9" s="10">
        <f t="shared" si="4"/>
        <v>1595962.5</v>
      </c>
      <c r="Q9" t="str">
        <f t="shared" si="5"/>
        <v>Reorder</v>
      </c>
      <c r="R9" t="str">
        <f t="shared" si="6"/>
        <v>B</v>
      </c>
      <c r="S9" s="2">
        <f>IFERROR(_xlfn.MAXIFS(Transactions_T[Date],Transactions_T[SKU],A9),"")</f>
        <v>46200</v>
      </c>
      <c r="T9">
        <f t="shared" si="7"/>
        <v>3</v>
      </c>
      <c r="U9" t="str">
        <f t="shared" si="8"/>
        <v>Yes</v>
      </c>
      <c r="V9">
        <f t="shared" si="9"/>
        <v>2</v>
      </c>
      <c r="W9" s="15">
        <f t="shared" si="10"/>
        <v>46213</v>
      </c>
    </row>
    <row r="10" spans="1:23" x14ac:dyDescent="0.25">
      <c r="A10" s="3" t="s">
        <v>72</v>
      </c>
      <c r="B10" s="3" t="s">
        <v>73</v>
      </c>
      <c r="C10" s="3" t="s">
        <v>67</v>
      </c>
      <c r="D10" s="3" t="s">
        <v>24</v>
      </c>
      <c r="E10" t="str">
        <f>INDEX(Suppliers_T[SupplierName],MATCH(D10,Suppliers_T[SupplierID],0))</f>
        <v>Local Sourcing Ltd</v>
      </c>
      <c r="F10" s="8">
        <v>620</v>
      </c>
      <c r="G10" s="3">
        <v>15</v>
      </c>
      <c r="H10" s="9">
        <v>8.73</v>
      </c>
      <c r="I10">
        <f>SUMIFS(MonthlyMovement_T[Closing],MonthlyMovement_T[SKU],A10,MonthlyMovement_T[Month],"Jun-2026")</f>
        <v>108</v>
      </c>
      <c r="J10" s="4">
        <f>INDEX(Suppliers_T[AvgLeadTime],MATCH(D10,Suppliers_T[SupplierID],0))</f>
        <v>4</v>
      </c>
      <c r="K10">
        <f>INDEX(Suppliers_T[LeadTimeRange],MATCH(D10,Suppliers_T[SupplierID],0))</f>
        <v>2</v>
      </c>
      <c r="L10">
        <f t="shared" si="0"/>
        <v>67</v>
      </c>
      <c r="M10" s="4">
        <f t="shared" si="1"/>
        <v>12.371134020618555</v>
      </c>
      <c r="N10">
        <f t="shared" si="2"/>
        <v>26</v>
      </c>
      <c r="O10" s="10">
        <f t="shared" si="3"/>
        <v>66960</v>
      </c>
      <c r="P10" s="10">
        <f t="shared" si="4"/>
        <v>1975599.0000000002</v>
      </c>
      <c r="Q10" t="str">
        <f t="shared" si="5"/>
        <v>Healthy</v>
      </c>
      <c r="R10" t="str">
        <f t="shared" si="6"/>
        <v>B</v>
      </c>
      <c r="S10" s="2">
        <f>IFERROR(_xlfn.MAXIFS(Transactions_T[Date],Transactions_T[SKU],A10),"")</f>
        <v>46196</v>
      </c>
      <c r="T10">
        <f t="shared" si="7"/>
        <v>7</v>
      </c>
      <c r="U10" t="str">
        <f t="shared" si="8"/>
        <v>No</v>
      </c>
      <c r="V10">
        <f t="shared" si="9"/>
        <v>3</v>
      </c>
      <c r="W10" s="15">
        <f t="shared" si="10"/>
        <v>46215</v>
      </c>
    </row>
    <row r="11" spans="1:23" x14ac:dyDescent="0.25">
      <c r="A11" s="3" t="s">
        <v>74</v>
      </c>
      <c r="B11" s="3" t="s">
        <v>75</v>
      </c>
      <c r="C11" s="3" t="s">
        <v>67</v>
      </c>
      <c r="D11" s="3" t="s">
        <v>18</v>
      </c>
      <c r="E11" t="str">
        <f>INDEX(Suppliers_T[SupplierName],MATCH(D11,Suppliers_T[SupplierID],0))</f>
        <v>Premier Supplies Ltd</v>
      </c>
      <c r="F11" s="8">
        <v>380</v>
      </c>
      <c r="G11" s="3">
        <v>20</v>
      </c>
      <c r="H11" s="9">
        <v>5.2</v>
      </c>
      <c r="I11">
        <f>SUMIFS(MonthlyMovement_T[Closing],MonthlyMovement_T[SKU],A11,MonthlyMovement_T[Month],"Jun-2026")</f>
        <v>24</v>
      </c>
      <c r="J11" s="4">
        <f>INDEX(Suppliers_T[AvgLeadTime],MATCH(D11,Suppliers_T[SupplierID],0))</f>
        <v>7.5</v>
      </c>
      <c r="K11">
        <f>INDEX(Suppliers_T[LeadTimeRange],MATCH(D11,Suppliers_T[SupplierID],0))</f>
        <v>3</v>
      </c>
      <c r="L11">
        <f t="shared" si="0"/>
        <v>75</v>
      </c>
      <c r="M11" s="4">
        <f t="shared" si="1"/>
        <v>4.615384615384615</v>
      </c>
      <c r="N11">
        <f t="shared" si="2"/>
        <v>126</v>
      </c>
      <c r="O11" s="10">
        <f t="shared" si="3"/>
        <v>9120</v>
      </c>
      <c r="P11" s="10">
        <f t="shared" si="4"/>
        <v>721240</v>
      </c>
      <c r="Q11" t="str">
        <f t="shared" si="5"/>
        <v>Critical</v>
      </c>
      <c r="R11" t="str">
        <f t="shared" si="6"/>
        <v>C</v>
      </c>
      <c r="S11" s="2">
        <f>IFERROR(_xlfn.MAXIFS(Transactions_T[Date],Transactions_T[SKU],A11),"")</f>
        <v>46195</v>
      </c>
      <c r="T11">
        <f t="shared" si="7"/>
        <v>8</v>
      </c>
      <c r="U11" t="str">
        <f t="shared" si="8"/>
        <v>Yes</v>
      </c>
      <c r="V11">
        <f t="shared" si="9"/>
        <v>1</v>
      </c>
      <c r="W11" s="15">
        <f t="shared" si="10"/>
        <v>46207</v>
      </c>
    </row>
    <row r="12" spans="1:23" x14ac:dyDescent="0.25">
      <c r="A12" s="3" t="s">
        <v>76</v>
      </c>
      <c r="B12" s="3" t="s">
        <v>77</v>
      </c>
      <c r="C12" s="3" t="s">
        <v>78</v>
      </c>
      <c r="D12" s="3" t="s">
        <v>20</v>
      </c>
      <c r="E12" t="str">
        <f>INDEX(Suppliers_T[SupplierName],MATCH(D12,Suppliers_T[SupplierID],0))</f>
        <v>Bulk Wholesale Co</v>
      </c>
      <c r="F12" s="8">
        <v>4200</v>
      </c>
      <c r="G12" s="3">
        <v>15</v>
      </c>
      <c r="H12" s="9">
        <v>7.71</v>
      </c>
      <c r="I12">
        <f>SUMIFS(MonthlyMovement_T[Closing],MonthlyMovement_T[SKU],A12,MonthlyMovement_T[Month],"Jun-2026")</f>
        <v>81</v>
      </c>
      <c r="J12" s="4">
        <f>INDEX(Suppliers_T[AvgLeadTime],MATCH(D12,Suppliers_T[SupplierID],0))</f>
        <v>5</v>
      </c>
      <c r="K12">
        <f>INDEX(Suppliers_T[LeadTimeRange],MATCH(D12,Suppliers_T[SupplierID],0))</f>
        <v>2</v>
      </c>
      <c r="L12">
        <f t="shared" si="0"/>
        <v>69</v>
      </c>
      <c r="M12" s="4">
        <f t="shared" si="1"/>
        <v>10.505836575875486</v>
      </c>
      <c r="N12">
        <f t="shared" si="2"/>
        <v>57</v>
      </c>
      <c r="O12" s="10">
        <f t="shared" si="3"/>
        <v>340200</v>
      </c>
      <c r="P12" s="10">
        <f t="shared" si="4"/>
        <v>11819430</v>
      </c>
      <c r="Q12" t="str">
        <f t="shared" si="5"/>
        <v>Healthy</v>
      </c>
      <c r="R12" t="str">
        <f t="shared" si="6"/>
        <v>A</v>
      </c>
      <c r="S12" s="2">
        <f>IFERROR(_xlfn.MAXIFS(Transactions_T[Date],Transactions_T[SKU],A12),"")</f>
        <v>46189</v>
      </c>
      <c r="T12">
        <f t="shared" si="7"/>
        <v>14</v>
      </c>
      <c r="U12" t="str">
        <f t="shared" si="8"/>
        <v>No</v>
      </c>
      <c r="V12">
        <f t="shared" si="9"/>
        <v>3</v>
      </c>
      <c r="W12" s="15">
        <f t="shared" si="10"/>
        <v>46213</v>
      </c>
    </row>
    <row r="13" spans="1:23" x14ac:dyDescent="0.25">
      <c r="A13" s="3" t="s">
        <v>79</v>
      </c>
      <c r="B13" s="3" t="s">
        <v>80</v>
      </c>
      <c r="C13" s="3" t="s">
        <v>78</v>
      </c>
      <c r="D13" s="3" t="s">
        <v>20</v>
      </c>
      <c r="E13" t="str">
        <f>INDEX(Suppliers_T[SupplierName],MATCH(D13,Suppliers_T[SupplierID],0))</f>
        <v>Bulk Wholesale Co</v>
      </c>
      <c r="F13" s="8">
        <v>850</v>
      </c>
      <c r="G13" s="3">
        <v>20</v>
      </c>
      <c r="H13" s="9">
        <v>7.03</v>
      </c>
      <c r="I13">
        <f>SUMIFS(MonthlyMovement_T[Closing],MonthlyMovement_T[SKU],A13,MonthlyMovement_T[Month],"Jun-2026")</f>
        <v>97</v>
      </c>
      <c r="J13" s="4">
        <f>INDEX(Suppliers_T[AvgLeadTime],MATCH(D13,Suppliers_T[SupplierID],0))</f>
        <v>5</v>
      </c>
      <c r="K13">
        <f>INDEX(Suppliers_T[LeadTimeRange],MATCH(D13,Suppliers_T[SupplierID],0))</f>
        <v>2</v>
      </c>
      <c r="L13">
        <f t="shared" si="0"/>
        <v>69</v>
      </c>
      <c r="M13" s="4">
        <f t="shared" si="1"/>
        <v>13.79800853485064</v>
      </c>
      <c r="N13">
        <f t="shared" si="2"/>
        <v>41</v>
      </c>
      <c r="O13" s="10">
        <f t="shared" si="3"/>
        <v>82450</v>
      </c>
      <c r="P13" s="10">
        <f t="shared" si="4"/>
        <v>2181057.5</v>
      </c>
      <c r="Q13" t="str">
        <f t="shared" si="5"/>
        <v>Healthy</v>
      </c>
      <c r="R13" t="str">
        <f t="shared" si="6"/>
        <v>A</v>
      </c>
      <c r="S13" s="2">
        <f>IFERROR(_xlfn.MAXIFS(Transactions_T[Date],Transactions_T[SKU],A13),"")</f>
        <v>46195</v>
      </c>
      <c r="T13">
        <f t="shared" si="7"/>
        <v>8</v>
      </c>
      <c r="U13" t="str">
        <f t="shared" si="8"/>
        <v>No</v>
      </c>
      <c r="V13">
        <f t="shared" si="9"/>
        <v>3</v>
      </c>
      <c r="W13" s="15">
        <f t="shared" si="10"/>
        <v>46216</v>
      </c>
    </row>
    <row r="14" spans="1:23" x14ac:dyDescent="0.25">
      <c r="A14" s="3" t="s">
        <v>81</v>
      </c>
      <c r="B14" s="3" t="s">
        <v>82</v>
      </c>
      <c r="C14" s="3" t="s">
        <v>78</v>
      </c>
      <c r="D14" s="3" t="s">
        <v>16</v>
      </c>
      <c r="E14" t="str">
        <f>INDEX(Suppliers_T[SupplierName],MATCH(D14,Suppliers_T[SupplierID],0))</f>
        <v>Global Distributors Ltd</v>
      </c>
      <c r="F14" s="8">
        <v>680</v>
      </c>
      <c r="G14" s="3">
        <v>25</v>
      </c>
      <c r="H14" s="9">
        <v>7.22</v>
      </c>
      <c r="I14">
        <f>SUMIFS(MonthlyMovement_T[Closing],MonthlyMovement_T[SKU],A14,MonthlyMovement_T[Month],"Jun-2026")</f>
        <v>220</v>
      </c>
      <c r="J14" s="4">
        <f>INDEX(Suppliers_T[AvgLeadTime],MATCH(D14,Suppliers_T[SupplierID],0))</f>
        <v>5.333333333333333</v>
      </c>
      <c r="K14">
        <f>INDEX(Suppliers_T[LeadTimeRange],MATCH(D14,Suppliers_T[SupplierID],0))</f>
        <v>3</v>
      </c>
      <c r="L14">
        <f t="shared" si="0"/>
        <v>85</v>
      </c>
      <c r="M14" s="4">
        <f t="shared" si="1"/>
        <v>30.470914127423825</v>
      </c>
      <c r="N14">
        <f t="shared" si="2"/>
        <v>0</v>
      </c>
      <c r="O14" s="10">
        <f t="shared" si="3"/>
        <v>149600</v>
      </c>
      <c r="P14" s="10">
        <f t="shared" si="4"/>
        <v>1792003.9999999998</v>
      </c>
      <c r="Q14" t="str">
        <f t="shared" si="5"/>
        <v>Overstock</v>
      </c>
      <c r="R14" t="str">
        <f t="shared" si="6"/>
        <v>B</v>
      </c>
      <c r="S14" s="2">
        <f>IFERROR(_xlfn.MAXIFS(Transactions_T[Date],Transactions_T[SKU],A14),"")</f>
        <v>46188</v>
      </c>
      <c r="T14">
        <f t="shared" si="7"/>
        <v>15</v>
      </c>
      <c r="U14" t="str">
        <f t="shared" si="8"/>
        <v>No</v>
      </c>
      <c r="V14">
        <f t="shared" si="9"/>
        <v>4</v>
      </c>
      <c r="W14" s="15">
        <f t="shared" si="10"/>
        <v>46233</v>
      </c>
    </row>
    <row r="15" spans="1:23" x14ac:dyDescent="0.25">
      <c r="A15" s="3" t="s">
        <v>83</v>
      </c>
      <c r="B15" s="3" t="s">
        <v>84</v>
      </c>
      <c r="C15" s="3" t="s">
        <v>78</v>
      </c>
      <c r="D15" s="3" t="s">
        <v>20</v>
      </c>
      <c r="E15" t="str">
        <f>INDEX(Suppliers_T[SupplierName],MATCH(D15,Suppliers_T[SupplierID],0))</f>
        <v>Bulk Wholesale Co</v>
      </c>
      <c r="F15" s="8">
        <v>320</v>
      </c>
      <c r="G15" s="3">
        <v>30</v>
      </c>
      <c r="H15" s="9">
        <v>6.81</v>
      </c>
      <c r="I15">
        <f>SUMIFS(MonthlyMovement_T[Closing],MonthlyMovement_T[SKU],A15,MonthlyMovement_T[Month],"Jun-2026")</f>
        <v>69</v>
      </c>
      <c r="J15" s="4">
        <f>INDEX(Suppliers_T[AvgLeadTime],MATCH(D15,Suppliers_T[SupplierID],0))</f>
        <v>5</v>
      </c>
      <c r="K15">
        <f>INDEX(Suppliers_T[LeadTimeRange],MATCH(D15,Suppliers_T[SupplierID],0))</f>
        <v>2</v>
      </c>
      <c r="L15">
        <f t="shared" si="0"/>
        <v>78</v>
      </c>
      <c r="M15" s="4">
        <f t="shared" si="1"/>
        <v>10.13215859030837</v>
      </c>
      <c r="N15">
        <f t="shared" si="2"/>
        <v>87</v>
      </c>
      <c r="O15" s="10">
        <f t="shared" si="3"/>
        <v>22080</v>
      </c>
      <c r="P15" s="10">
        <f t="shared" si="4"/>
        <v>795407.99999999988</v>
      </c>
      <c r="Q15" t="str">
        <f t="shared" si="5"/>
        <v>Reorder</v>
      </c>
      <c r="R15" t="str">
        <f t="shared" si="6"/>
        <v>C</v>
      </c>
      <c r="S15" s="2">
        <f>IFERROR(_xlfn.MAXIFS(Transactions_T[Date],Transactions_T[SKU],A15),"")</f>
        <v>46188</v>
      </c>
      <c r="T15">
        <f t="shared" si="7"/>
        <v>15</v>
      </c>
      <c r="U15" t="str">
        <f t="shared" si="8"/>
        <v>Yes</v>
      </c>
      <c r="V15">
        <f t="shared" si="9"/>
        <v>2</v>
      </c>
      <c r="W15" s="15">
        <f t="shared" si="10"/>
        <v>46213</v>
      </c>
    </row>
    <row r="16" spans="1:23" x14ac:dyDescent="0.25">
      <c r="A16" s="3" t="s">
        <v>85</v>
      </c>
      <c r="B16" s="3" t="s">
        <v>86</v>
      </c>
      <c r="C16" s="3" t="s">
        <v>78</v>
      </c>
      <c r="D16" s="3" t="s">
        <v>16</v>
      </c>
      <c r="E16" t="str">
        <f>INDEX(Suppliers_T[SupplierName],MATCH(D16,Suppliers_T[SupplierID],0))</f>
        <v>Global Distributors Ltd</v>
      </c>
      <c r="F16" s="8">
        <v>1450</v>
      </c>
      <c r="G16" s="3">
        <v>20</v>
      </c>
      <c r="H16" s="9">
        <v>3.11</v>
      </c>
      <c r="I16">
        <f>SUMIFS(MonthlyMovement_T[Closing],MonthlyMovement_T[SKU],A16,MonthlyMovement_T[Month],"Jun-2026")</f>
        <v>72</v>
      </c>
      <c r="J16" s="4">
        <f>INDEX(Suppliers_T[AvgLeadTime],MATCH(D16,Suppliers_T[SupplierID],0))</f>
        <v>5.333333333333333</v>
      </c>
      <c r="K16">
        <f>INDEX(Suppliers_T[LeadTimeRange],MATCH(D16,Suppliers_T[SupplierID],0))</f>
        <v>3</v>
      </c>
      <c r="L16">
        <f t="shared" si="0"/>
        <v>46</v>
      </c>
      <c r="M16" s="4">
        <f t="shared" si="1"/>
        <v>23.15112540192926</v>
      </c>
      <c r="N16">
        <f t="shared" si="2"/>
        <v>20</v>
      </c>
      <c r="O16" s="10">
        <f t="shared" si="3"/>
        <v>104400</v>
      </c>
      <c r="P16" s="10">
        <f t="shared" si="4"/>
        <v>1645967.4999999998</v>
      </c>
      <c r="Q16" t="str">
        <f t="shared" si="5"/>
        <v>Healthy</v>
      </c>
      <c r="R16" t="str">
        <f t="shared" si="6"/>
        <v>B</v>
      </c>
      <c r="S16" s="2">
        <f>IFERROR(_xlfn.MAXIFS(Transactions_T[Date],Transactions_T[SKU],A16),"")</f>
        <v>46202</v>
      </c>
      <c r="T16">
        <f t="shared" si="7"/>
        <v>1</v>
      </c>
      <c r="U16" t="str">
        <f t="shared" si="8"/>
        <v>No</v>
      </c>
      <c r="V16">
        <f t="shared" si="9"/>
        <v>3</v>
      </c>
      <c r="W16" s="15">
        <f t="shared" si="10"/>
        <v>46226</v>
      </c>
    </row>
    <row r="17" spans="1:23" x14ac:dyDescent="0.25">
      <c r="A17" s="3" t="s">
        <v>87</v>
      </c>
      <c r="B17" s="3" t="s">
        <v>88</v>
      </c>
      <c r="C17" s="3" t="s">
        <v>78</v>
      </c>
      <c r="D17" s="3" t="s">
        <v>20</v>
      </c>
      <c r="E17" t="str">
        <f>INDEX(Suppliers_T[SupplierName],MATCH(D17,Suppliers_T[SupplierID],0))</f>
        <v>Bulk Wholesale Co</v>
      </c>
      <c r="F17" s="8">
        <v>580</v>
      </c>
      <c r="G17" s="3">
        <v>15</v>
      </c>
      <c r="H17" s="9">
        <v>5.29</v>
      </c>
      <c r="I17">
        <f>SUMIFS(MonthlyMovement_T[Closing],MonthlyMovement_T[SKU],A17,MonthlyMovement_T[Month],"Jun-2026")</f>
        <v>29</v>
      </c>
      <c r="J17" s="4">
        <f>INDEX(Suppliers_T[AvgLeadTime],MATCH(D17,Suppliers_T[SupplierID],0))</f>
        <v>5</v>
      </c>
      <c r="K17">
        <f>INDEX(Suppliers_T[LeadTimeRange],MATCH(D17,Suppliers_T[SupplierID],0))</f>
        <v>2</v>
      </c>
      <c r="L17">
        <f t="shared" si="0"/>
        <v>52</v>
      </c>
      <c r="M17" s="4">
        <f t="shared" si="1"/>
        <v>5.4820415879017013</v>
      </c>
      <c r="N17">
        <f t="shared" si="2"/>
        <v>75</v>
      </c>
      <c r="O17" s="10">
        <f t="shared" si="3"/>
        <v>16820</v>
      </c>
      <c r="P17" s="10">
        <f t="shared" si="4"/>
        <v>1119893</v>
      </c>
      <c r="Q17" t="str">
        <f t="shared" si="5"/>
        <v>Reorder</v>
      </c>
      <c r="R17" t="str">
        <f t="shared" si="6"/>
        <v>C</v>
      </c>
      <c r="S17" s="2">
        <f>IFERROR(_xlfn.MAXIFS(Transactions_T[Date],Transactions_T[SKU],A17),"")</f>
        <v>46188</v>
      </c>
      <c r="T17">
        <f t="shared" si="7"/>
        <v>15</v>
      </c>
      <c r="U17" t="str">
        <f t="shared" si="8"/>
        <v>Yes</v>
      </c>
      <c r="V17">
        <f t="shared" si="9"/>
        <v>2</v>
      </c>
      <c r="W17" s="15">
        <f t="shared" si="10"/>
        <v>46208</v>
      </c>
    </row>
    <row r="18" spans="1:23" x14ac:dyDescent="0.25">
      <c r="A18" s="3" t="s">
        <v>89</v>
      </c>
      <c r="B18" s="3" t="s">
        <v>90</v>
      </c>
      <c r="C18" s="3" t="s">
        <v>78</v>
      </c>
      <c r="D18" s="3" t="s">
        <v>22</v>
      </c>
      <c r="E18" t="str">
        <f>INDEX(Suppliers_T[SupplierName],MATCH(D18,Suppliers_T[SupplierID],0))</f>
        <v>Quality Imports Ltd</v>
      </c>
      <c r="F18" s="8">
        <v>950</v>
      </c>
      <c r="G18" s="3">
        <v>20</v>
      </c>
      <c r="H18" s="9">
        <v>5.36</v>
      </c>
      <c r="I18">
        <f>SUMIFS(MonthlyMovement_T[Closing],MonthlyMovement_T[SKU],A18,MonthlyMovement_T[Month],"Jun-2026")</f>
        <v>162</v>
      </c>
      <c r="J18" s="4">
        <f>INDEX(Suppliers_T[AvgLeadTime],MATCH(D18,Suppliers_T[SupplierID],0))</f>
        <v>9.1666666666666661</v>
      </c>
      <c r="K18">
        <f>INDEX(Suppliers_T[LeadTimeRange],MATCH(D18,Suppliers_T[SupplierID],0))</f>
        <v>3</v>
      </c>
      <c r="L18">
        <f t="shared" si="0"/>
        <v>85</v>
      </c>
      <c r="M18" s="4">
        <f t="shared" si="1"/>
        <v>30.223880597014922</v>
      </c>
      <c r="N18">
        <f t="shared" si="2"/>
        <v>8</v>
      </c>
      <c r="O18" s="10">
        <f t="shared" si="3"/>
        <v>153900</v>
      </c>
      <c r="P18" s="10">
        <f t="shared" si="4"/>
        <v>1858580</v>
      </c>
      <c r="Q18" t="str">
        <f t="shared" si="5"/>
        <v>Healthy</v>
      </c>
      <c r="R18" t="str">
        <f t="shared" si="6"/>
        <v>B</v>
      </c>
      <c r="S18" s="2">
        <f>IFERROR(_xlfn.MAXIFS(Transactions_T[Date],Transactions_T[SKU],A18),"")</f>
        <v>46108</v>
      </c>
      <c r="T18">
        <f t="shared" si="7"/>
        <v>95</v>
      </c>
      <c r="U18" t="str">
        <f t="shared" si="8"/>
        <v>No</v>
      </c>
      <c r="V18">
        <f t="shared" si="9"/>
        <v>3</v>
      </c>
      <c r="W18" s="15">
        <f t="shared" si="10"/>
        <v>46233</v>
      </c>
    </row>
    <row r="19" spans="1:23" x14ac:dyDescent="0.25">
      <c r="A19" s="3" t="s">
        <v>91</v>
      </c>
      <c r="B19" s="3" t="s">
        <v>92</v>
      </c>
      <c r="C19" s="3" t="s">
        <v>93</v>
      </c>
      <c r="D19" s="3" t="s">
        <v>18</v>
      </c>
      <c r="E19" t="str">
        <f>INDEX(Suppliers_T[SupplierName],MATCH(D19,Suppliers_T[SupplierID],0))</f>
        <v>Premier Supplies Ltd</v>
      </c>
      <c r="F19" s="8">
        <v>680</v>
      </c>
      <c r="G19" s="3">
        <v>20</v>
      </c>
      <c r="H19" s="9">
        <v>5.8</v>
      </c>
      <c r="I19">
        <f>SUMIFS(MonthlyMovement_T[Closing],MonthlyMovement_T[SKU],A19,MonthlyMovement_T[Month],"Jun-2026")</f>
        <v>118</v>
      </c>
      <c r="J19" s="4">
        <f>INDEX(Suppliers_T[AvgLeadTime],MATCH(D19,Suppliers_T[SupplierID],0))</f>
        <v>7.5</v>
      </c>
      <c r="K19">
        <f>INDEX(Suppliers_T[LeadTimeRange],MATCH(D19,Suppliers_T[SupplierID],0))</f>
        <v>3</v>
      </c>
      <c r="L19">
        <f t="shared" si="0"/>
        <v>81</v>
      </c>
      <c r="M19" s="4">
        <f t="shared" si="1"/>
        <v>20.344827586206897</v>
      </c>
      <c r="N19">
        <f t="shared" si="2"/>
        <v>44</v>
      </c>
      <c r="O19" s="10">
        <f t="shared" si="3"/>
        <v>80240</v>
      </c>
      <c r="P19" s="10">
        <f t="shared" si="4"/>
        <v>1439560</v>
      </c>
      <c r="Q19" t="str">
        <f t="shared" si="5"/>
        <v>Healthy</v>
      </c>
      <c r="R19" t="str">
        <f t="shared" si="6"/>
        <v>C</v>
      </c>
      <c r="S19" s="2">
        <f>IFERROR(_xlfn.MAXIFS(Transactions_T[Date],Transactions_T[SKU],A19),"")</f>
        <v>46198</v>
      </c>
      <c r="T19">
        <f t="shared" si="7"/>
        <v>5</v>
      </c>
      <c r="U19" t="str">
        <f t="shared" si="8"/>
        <v>No</v>
      </c>
      <c r="V19">
        <f t="shared" si="9"/>
        <v>3</v>
      </c>
      <c r="W19" s="15">
        <f t="shared" si="10"/>
        <v>46223</v>
      </c>
    </row>
    <row r="20" spans="1:23" x14ac:dyDescent="0.25">
      <c r="A20" s="3" t="s">
        <v>94</v>
      </c>
      <c r="B20" s="3" t="s">
        <v>95</v>
      </c>
      <c r="C20" s="3" t="s">
        <v>93</v>
      </c>
      <c r="D20" s="3" t="s">
        <v>20</v>
      </c>
      <c r="E20" t="str">
        <f>INDEX(Suppliers_T[SupplierName],MATCH(D20,Suppliers_T[SupplierID],0))</f>
        <v>Bulk Wholesale Co</v>
      </c>
      <c r="F20" s="8">
        <v>520</v>
      </c>
      <c r="G20" s="3">
        <v>20</v>
      </c>
      <c r="H20" s="9">
        <v>5.0999999999999996</v>
      </c>
      <c r="I20">
        <f>SUMIFS(MonthlyMovement_T[Closing],MonthlyMovement_T[SKU],A20,MonthlyMovement_T[Month],"Jun-2026")</f>
        <v>91</v>
      </c>
      <c r="J20" s="4">
        <f>INDEX(Suppliers_T[AvgLeadTime],MATCH(D20,Suppliers_T[SupplierID],0))</f>
        <v>5</v>
      </c>
      <c r="K20">
        <f>INDEX(Suppliers_T[LeadTimeRange],MATCH(D20,Suppliers_T[SupplierID],0))</f>
        <v>2</v>
      </c>
      <c r="L20">
        <f t="shared" si="0"/>
        <v>56</v>
      </c>
      <c r="M20" s="4">
        <f t="shared" si="1"/>
        <v>17.843137254901961</v>
      </c>
      <c r="N20">
        <f t="shared" si="2"/>
        <v>21</v>
      </c>
      <c r="O20" s="10">
        <f t="shared" si="3"/>
        <v>47320</v>
      </c>
      <c r="P20" s="10">
        <f t="shared" si="4"/>
        <v>967979.99999999988</v>
      </c>
      <c r="Q20" t="str">
        <f t="shared" si="5"/>
        <v>Healthy</v>
      </c>
      <c r="R20" t="str">
        <f t="shared" si="6"/>
        <v>C</v>
      </c>
      <c r="S20" s="2">
        <f>IFERROR(_xlfn.MAXIFS(Transactions_T[Date],Transactions_T[SKU],A20),"")</f>
        <v>46191</v>
      </c>
      <c r="T20">
        <f t="shared" si="7"/>
        <v>12</v>
      </c>
      <c r="U20" t="str">
        <f t="shared" si="8"/>
        <v>No</v>
      </c>
      <c r="V20">
        <f t="shared" si="9"/>
        <v>3</v>
      </c>
      <c r="W20" s="15">
        <f t="shared" si="10"/>
        <v>46220</v>
      </c>
    </row>
    <row r="21" spans="1:23" x14ac:dyDescent="0.25">
      <c r="A21" s="3" t="s">
        <v>96</v>
      </c>
      <c r="B21" s="3" t="s">
        <v>97</v>
      </c>
      <c r="C21" s="3" t="s">
        <v>93</v>
      </c>
      <c r="D21" s="3" t="s">
        <v>20</v>
      </c>
      <c r="E21" t="str">
        <f>INDEX(Suppliers_T[SupplierName],MATCH(D21,Suppliers_T[SupplierID],0))</f>
        <v>Bulk Wholesale Co</v>
      </c>
      <c r="F21" s="8">
        <v>340</v>
      </c>
      <c r="G21" s="3">
        <v>30</v>
      </c>
      <c r="H21" s="9">
        <v>5.7</v>
      </c>
      <c r="I21">
        <f>SUMIFS(MonthlyMovement_T[Closing],MonthlyMovement_T[SKU],A21,MonthlyMovement_T[Month],"Jun-2026")</f>
        <v>49</v>
      </c>
      <c r="J21" s="4">
        <f>INDEX(Suppliers_T[AvgLeadTime],MATCH(D21,Suppliers_T[SupplierID],0))</f>
        <v>5</v>
      </c>
      <c r="K21">
        <f>INDEX(Suppliers_T[LeadTimeRange],MATCH(D21,Suppliers_T[SupplierID],0))</f>
        <v>2</v>
      </c>
      <c r="L21">
        <f t="shared" si="0"/>
        <v>70</v>
      </c>
      <c r="M21" s="4">
        <f t="shared" si="1"/>
        <v>8.5964912280701746</v>
      </c>
      <c r="N21">
        <f t="shared" si="2"/>
        <v>91</v>
      </c>
      <c r="O21" s="10">
        <f t="shared" si="3"/>
        <v>16660</v>
      </c>
      <c r="P21" s="10">
        <f t="shared" si="4"/>
        <v>707370</v>
      </c>
      <c r="Q21" t="str">
        <f t="shared" si="5"/>
        <v>Reorder</v>
      </c>
      <c r="R21" t="str">
        <f t="shared" si="6"/>
        <v>C</v>
      </c>
      <c r="S21" s="2">
        <f>IFERROR(_xlfn.MAXIFS(Transactions_T[Date],Transactions_T[SKU],A21),"")</f>
        <v>46193</v>
      </c>
      <c r="T21">
        <f t="shared" si="7"/>
        <v>10</v>
      </c>
      <c r="U21" t="str">
        <f t="shared" si="8"/>
        <v>Yes</v>
      </c>
      <c r="V21">
        <f t="shared" si="9"/>
        <v>2</v>
      </c>
      <c r="W21" s="15">
        <f t="shared" si="10"/>
        <v>46211</v>
      </c>
    </row>
    <row r="22" spans="1:23" x14ac:dyDescent="0.25">
      <c r="A22" s="3" t="s">
        <v>98</v>
      </c>
      <c r="B22" s="3" t="s">
        <v>99</v>
      </c>
      <c r="C22" s="3" t="s">
        <v>93</v>
      </c>
      <c r="D22" s="3" t="s">
        <v>18</v>
      </c>
      <c r="E22" t="str">
        <f>INDEX(Suppliers_T[SupplierName],MATCH(D22,Suppliers_T[SupplierID],0))</f>
        <v>Premier Supplies Ltd</v>
      </c>
      <c r="F22" s="8">
        <v>410</v>
      </c>
      <c r="G22" s="3">
        <v>20</v>
      </c>
      <c r="H22" s="9">
        <v>3.93</v>
      </c>
      <c r="I22">
        <f>SUMIFS(MonthlyMovement_T[Closing],MonthlyMovement_T[SKU],A22,MonthlyMovement_T[Month],"Jun-2026")</f>
        <v>151</v>
      </c>
      <c r="J22" s="4">
        <f>INDEX(Suppliers_T[AvgLeadTime],MATCH(D22,Suppliers_T[SupplierID],0))</f>
        <v>7.5</v>
      </c>
      <c r="K22">
        <f>INDEX(Suppliers_T[LeadTimeRange],MATCH(D22,Suppliers_T[SupplierID],0))</f>
        <v>3</v>
      </c>
      <c r="L22">
        <f t="shared" si="0"/>
        <v>61</v>
      </c>
      <c r="M22" s="4">
        <f t="shared" si="1"/>
        <v>38.422391857506362</v>
      </c>
      <c r="N22">
        <f t="shared" si="2"/>
        <v>0</v>
      </c>
      <c r="O22" s="10">
        <f t="shared" si="3"/>
        <v>61910</v>
      </c>
      <c r="P22" s="10">
        <f t="shared" si="4"/>
        <v>588124.5</v>
      </c>
      <c r="Q22" t="str">
        <f t="shared" si="5"/>
        <v>Overstock</v>
      </c>
      <c r="R22" t="str">
        <f t="shared" si="6"/>
        <v>C</v>
      </c>
      <c r="S22" s="2">
        <f>IFERROR(_xlfn.MAXIFS(Transactions_T[Date],Transactions_T[SKU],A22),"")</f>
        <v>46201</v>
      </c>
      <c r="T22">
        <f t="shared" si="7"/>
        <v>2</v>
      </c>
      <c r="U22" t="str">
        <f t="shared" si="8"/>
        <v>No</v>
      </c>
      <c r="V22">
        <f t="shared" si="9"/>
        <v>4</v>
      </c>
      <c r="W22" s="15">
        <f t="shared" si="10"/>
        <v>46241</v>
      </c>
    </row>
    <row r="23" spans="1:23" x14ac:dyDescent="0.25">
      <c r="A23" s="3" t="s">
        <v>100</v>
      </c>
      <c r="B23" s="3" t="s">
        <v>101</v>
      </c>
      <c r="C23" s="3" t="s">
        <v>93</v>
      </c>
      <c r="D23" s="3" t="s">
        <v>24</v>
      </c>
      <c r="E23" t="str">
        <f>INDEX(Suppliers_T[SupplierName],MATCH(D23,Suppliers_T[SupplierID],0))</f>
        <v>Local Sourcing Ltd</v>
      </c>
      <c r="F23" s="8">
        <v>750</v>
      </c>
      <c r="G23" s="3">
        <v>15</v>
      </c>
      <c r="H23" s="9">
        <v>5.65</v>
      </c>
      <c r="I23">
        <f>SUMIFS(MonthlyMovement_T[Closing],MonthlyMovement_T[SKU],A23,MonthlyMovement_T[Month],"Jun-2026")</f>
        <v>0</v>
      </c>
      <c r="J23" s="4">
        <f>INDEX(Suppliers_T[AvgLeadTime],MATCH(D23,Suppliers_T[SupplierID],0))</f>
        <v>4</v>
      </c>
      <c r="K23">
        <f>INDEX(Suppliers_T[LeadTimeRange],MATCH(D23,Suppliers_T[SupplierID],0))</f>
        <v>2</v>
      </c>
      <c r="L23">
        <f t="shared" si="0"/>
        <v>49</v>
      </c>
      <c r="M23" s="4">
        <f t="shared" si="1"/>
        <v>0</v>
      </c>
      <c r="N23">
        <f t="shared" si="2"/>
        <v>98</v>
      </c>
      <c r="O23" s="10">
        <f t="shared" si="3"/>
        <v>0</v>
      </c>
      <c r="P23" s="10">
        <f t="shared" si="4"/>
        <v>1546687.5</v>
      </c>
      <c r="Q23" t="str">
        <f t="shared" si="5"/>
        <v>Out of Stock</v>
      </c>
      <c r="R23" t="str">
        <f t="shared" si="6"/>
        <v>B</v>
      </c>
      <c r="S23" s="2">
        <f>IFERROR(_xlfn.MAXIFS(Transactions_T[Date],Transactions_T[SKU],A23),"")</f>
        <v>46199</v>
      </c>
      <c r="T23">
        <f t="shared" si="7"/>
        <v>4</v>
      </c>
      <c r="U23" t="str">
        <f t="shared" si="8"/>
        <v>Yes</v>
      </c>
      <c r="V23">
        <f t="shared" si="9"/>
        <v>0</v>
      </c>
      <c r="W23" t="s">
        <v>497</v>
      </c>
    </row>
    <row r="24" spans="1:23" x14ac:dyDescent="0.25">
      <c r="A24" s="3" t="s">
        <v>102</v>
      </c>
      <c r="B24" s="3" t="s">
        <v>103</v>
      </c>
      <c r="C24" s="3" t="s">
        <v>93</v>
      </c>
      <c r="D24" s="3" t="s">
        <v>22</v>
      </c>
      <c r="E24" t="str">
        <f>INDEX(Suppliers_T[SupplierName],MATCH(D24,Suppliers_T[SupplierID],0))</f>
        <v>Quality Imports Ltd</v>
      </c>
      <c r="F24" s="8">
        <v>2800</v>
      </c>
      <c r="G24" s="3">
        <v>10</v>
      </c>
      <c r="H24" s="9">
        <v>5.95</v>
      </c>
      <c r="I24">
        <f>SUMIFS(MonthlyMovement_T[Closing],MonthlyMovement_T[SKU],A24,MonthlyMovement_T[Month],"Jun-2026")</f>
        <v>281</v>
      </c>
      <c r="J24" s="4">
        <f>INDEX(Suppliers_T[AvgLeadTime],MATCH(D24,Suppliers_T[SupplierID],0))</f>
        <v>9.1666666666666661</v>
      </c>
      <c r="K24">
        <f>INDEX(Suppliers_T[LeadTimeRange],MATCH(D24,Suppliers_T[SupplierID],0))</f>
        <v>3</v>
      </c>
      <c r="L24">
        <f t="shared" si="0"/>
        <v>82</v>
      </c>
      <c r="M24" s="4">
        <f t="shared" si="1"/>
        <v>47.226890756302517</v>
      </c>
      <c r="N24">
        <f t="shared" si="2"/>
        <v>0</v>
      </c>
      <c r="O24" s="10">
        <f t="shared" si="3"/>
        <v>786800</v>
      </c>
      <c r="P24" s="10">
        <f t="shared" si="4"/>
        <v>6080900</v>
      </c>
      <c r="Q24" t="str">
        <f t="shared" si="5"/>
        <v>Overstock</v>
      </c>
      <c r="R24" t="str">
        <f t="shared" si="6"/>
        <v>A</v>
      </c>
      <c r="S24" s="2">
        <f>IFERROR(_xlfn.MAXIFS(Transactions_T[Date],Transactions_T[SKU],A24),"")</f>
        <v>46039</v>
      </c>
      <c r="T24">
        <f t="shared" si="7"/>
        <v>164</v>
      </c>
      <c r="U24" t="str">
        <f t="shared" si="8"/>
        <v>No</v>
      </c>
      <c r="V24">
        <f t="shared" si="9"/>
        <v>4</v>
      </c>
      <c r="W24" s="15">
        <f t="shared" si="10"/>
        <v>46250</v>
      </c>
    </row>
    <row r="25" spans="1:23" x14ac:dyDescent="0.25">
      <c r="A25" s="3" t="s">
        <v>104</v>
      </c>
      <c r="B25" s="3" t="s">
        <v>105</v>
      </c>
      <c r="C25" s="3" t="s">
        <v>106</v>
      </c>
      <c r="D25" s="3" t="s">
        <v>22</v>
      </c>
      <c r="E25" t="str">
        <f>INDEX(Suppliers_T[SupplierName],MATCH(D25,Suppliers_T[SupplierID],0))</f>
        <v>Quality Imports Ltd</v>
      </c>
      <c r="F25" s="8">
        <v>1800</v>
      </c>
      <c r="G25" s="3">
        <v>15</v>
      </c>
      <c r="H25" s="9">
        <v>2.4900000000000002</v>
      </c>
      <c r="I25">
        <f>SUMIFS(MonthlyMovement_T[Closing],MonthlyMovement_T[SKU],A25,MonthlyMovement_T[Month],"Jun-2026")</f>
        <v>52</v>
      </c>
      <c r="J25" s="4">
        <f>INDEX(Suppliers_T[AvgLeadTime],MATCH(D25,Suppliers_T[SupplierID],0))</f>
        <v>9.1666666666666661</v>
      </c>
      <c r="K25">
        <f>INDEX(Suppliers_T[LeadTimeRange],MATCH(D25,Suppliers_T[SupplierID],0))</f>
        <v>3</v>
      </c>
      <c r="L25">
        <f t="shared" si="0"/>
        <v>45</v>
      </c>
      <c r="M25" s="4">
        <f t="shared" si="1"/>
        <v>20.883534136546182</v>
      </c>
      <c r="N25">
        <f t="shared" si="2"/>
        <v>38</v>
      </c>
      <c r="O25" s="10">
        <f t="shared" si="3"/>
        <v>93600</v>
      </c>
      <c r="P25" s="10">
        <f t="shared" si="4"/>
        <v>1635930</v>
      </c>
      <c r="Q25" t="str">
        <f t="shared" si="5"/>
        <v>Healthy</v>
      </c>
      <c r="R25" t="str">
        <f t="shared" si="6"/>
        <v>B</v>
      </c>
      <c r="S25" s="2">
        <f>IFERROR(_xlfn.MAXIFS(Transactions_T[Date],Transactions_T[SKU],A25),"")</f>
        <v>46196</v>
      </c>
      <c r="T25">
        <f t="shared" si="7"/>
        <v>7</v>
      </c>
      <c r="U25" t="str">
        <f t="shared" si="8"/>
        <v>No</v>
      </c>
      <c r="V25">
        <f t="shared" si="9"/>
        <v>3</v>
      </c>
      <c r="W25" s="15">
        <f t="shared" si="10"/>
        <v>46223</v>
      </c>
    </row>
    <row r="26" spans="1:23" x14ac:dyDescent="0.25">
      <c r="A26" s="3" t="s">
        <v>107</v>
      </c>
      <c r="B26" s="3" t="s">
        <v>108</v>
      </c>
      <c r="C26" s="3" t="s">
        <v>106</v>
      </c>
      <c r="D26" s="3" t="s">
        <v>22</v>
      </c>
      <c r="E26" t="str">
        <f>INDEX(Suppliers_T[SupplierName],MATCH(D26,Suppliers_T[SupplierID],0))</f>
        <v>Quality Imports Ltd</v>
      </c>
      <c r="F26" s="8">
        <v>8500</v>
      </c>
      <c r="G26" s="3">
        <v>10</v>
      </c>
      <c r="H26" s="9">
        <v>2.2599999999999998</v>
      </c>
      <c r="I26">
        <f>SUMIFS(MonthlyMovement_T[Closing],MonthlyMovement_T[SKU],A26,MonthlyMovement_T[Month],"Jun-2026")</f>
        <v>14</v>
      </c>
      <c r="J26" s="4">
        <f>INDEX(Suppliers_T[AvgLeadTime],MATCH(D26,Suppliers_T[SupplierID],0))</f>
        <v>9.1666666666666661</v>
      </c>
      <c r="K26">
        <f>INDEX(Suppliers_T[LeadTimeRange],MATCH(D26,Suppliers_T[SupplierID],0))</f>
        <v>3</v>
      </c>
      <c r="L26">
        <f t="shared" si="0"/>
        <v>37</v>
      </c>
      <c r="M26" s="4">
        <f t="shared" si="1"/>
        <v>6.1946902654867264</v>
      </c>
      <c r="N26">
        <f t="shared" si="2"/>
        <v>60</v>
      </c>
      <c r="O26" s="10">
        <f t="shared" si="3"/>
        <v>119000</v>
      </c>
      <c r="P26" s="10">
        <f t="shared" si="4"/>
        <v>7011650</v>
      </c>
      <c r="Q26" t="str">
        <f t="shared" si="5"/>
        <v>Critical</v>
      </c>
      <c r="R26" t="str">
        <f t="shared" si="6"/>
        <v>A</v>
      </c>
      <c r="S26" s="2">
        <f>IFERROR(_xlfn.MAXIFS(Transactions_T[Date],Transactions_T[SKU],A26),"")</f>
        <v>46201</v>
      </c>
      <c r="T26">
        <f t="shared" si="7"/>
        <v>2</v>
      </c>
      <c r="U26" t="str">
        <f t="shared" si="8"/>
        <v>Yes</v>
      </c>
      <c r="V26">
        <f t="shared" si="9"/>
        <v>1</v>
      </c>
      <c r="W26" s="15">
        <f t="shared" si="10"/>
        <v>46209</v>
      </c>
    </row>
    <row r="27" spans="1:23" x14ac:dyDescent="0.25">
      <c r="A27" s="3" t="s">
        <v>109</v>
      </c>
      <c r="B27" s="3" t="s">
        <v>110</v>
      </c>
      <c r="C27" s="3" t="s">
        <v>106</v>
      </c>
      <c r="D27" s="3" t="s">
        <v>22</v>
      </c>
      <c r="E27" t="str">
        <f>INDEX(Suppliers_T[SupplierName],MATCH(D27,Suppliers_T[SupplierID],0))</f>
        <v>Quality Imports Ltd</v>
      </c>
      <c r="F27" s="8">
        <v>2200</v>
      </c>
      <c r="G27" s="3">
        <v>10</v>
      </c>
      <c r="H27" s="9">
        <v>2.64</v>
      </c>
      <c r="I27">
        <f>SUMIFS(MonthlyMovement_T[Closing],MonthlyMovement_T[SKU],A27,MonthlyMovement_T[Month],"Jun-2026")</f>
        <v>35</v>
      </c>
      <c r="J27" s="4">
        <f>INDEX(Suppliers_T[AvgLeadTime],MATCH(D27,Suppliers_T[SupplierID],0))</f>
        <v>9.1666666666666661</v>
      </c>
      <c r="K27">
        <f>INDEX(Suppliers_T[LeadTimeRange],MATCH(D27,Suppliers_T[SupplierID],0))</f>
        <v>3</v>
      </c>
      <c r="L27">
        <f t="shared" si="0"/>
        <v>42</v>
      </c>
      <c r="M27" s="4">
        <f t="shared" si="1"/>
        <v>13.257575757575758</v>
      </c>
      <c r="N27">
        <f t="shared" si="2"/>
        <v>49</v>
      </c>
      <c r="O27" s="10">
        <f t="shared" si="3"/>
        <v>77000</v>
      </c>
      <c r="P27" s="10">
        <f t="shared" si="4"/>
        <v>2119920</v>
      </c>
      <c r="Q27" t="str">
        <f t="shared" si="5"/>
        <v>Reorder</v>
      </c>
      <c r="R27" t="str">
        <f t="shared" si="6"/>
        <v>B</v>
      </c>
      <c r="S27" s="2">
        <f>IFERROR(_xlfn.MAXIFS(Transactions_T[Date],Transactions_T[SKU],A27),"")</f>
        <v>46195</v>
      </c>
      <c r="T27">
        <f t="shared" si="7"/>
        <v>8</v>
      </c>
      <c r="U27" t="str">
        <f t="shared" si="8"/>
        <v>Yes</v>
      </c>
      <c r="V27">
        <f t="shared" si="9"/>
        <v>2</v>
      </c>
      <c r="W27" s="15">
        <f t="shared" si="10"/>
        <v>46216</v>
      </c>
    </row>
    <row r="28" spans="1:23" x14ac:dyDescent="0.25">
      <c r="A28" s="3" t="s">
        <v>111</v>
      </c>
      <c r="B28" s="3" t="s">
        <v>112</v>
      </c>
      <c r="C28" s="3" t="s">
        <v>106</v>
      </c>
      <c r="D28" s="3" t="s">
        <v>22</v>
      </c>
      <c r="E28" t="str">
        <f>INDEX(Suppliers_T[SupplierName],MATCH(D28,Suppliers_T[SupplierID],0))</f>
        <v>Quality Imports Ltd</v>
      </c>
      <c r="F28" s="8">
        <v>6200</v>
      </c>
      <c r="G28" s="3">
        <v>10</v>
      </c>
      <c r="H28" s="9">
        <v>2.25</v>
      </c>
      <c r="I28">
        <f>SUMIFS(MonthlyMovement_T[Closing],MonthlyMovement_T[SKU],A28,MonthlyMovement_T[Month],"Jun-2026")</f>
        <v>146</v>
      </c>
      <c r="J28" s="4">
        <f>INDEX(Suppliers_T[AvgLeadTime],MATCH(D28,Suppliers_T[SupplierID],0))</f>
        <v>9.1666666666666661</v>
      </c>
      <c r="K28">
        <f>INDEX(Suppliers_T[LeadTimeRange],MATCH(D28,Suppliers_T[SupplierID],0))</f>
        <v>3</v>
      </c>
      <c r="L28">
        <f t="shared" si="0"/>
        <v>37</v>
      </c>
      <c r="M28" s="4">
        <f t="shared" si="1"/>
        <v>64.888888888888886</v>
      </c>
      <c r="N28">
        <f t="shared" si="2"/>
        <v>0</v>
      </c>
      <c r="O28" s="10">
        <f t="shared" si="3"/>
        <v>905200</v>
      </c>
      <c r="P28" s="10">
        <f t="shared" si="4"/>
        <v>5091750</v>
      </c>
      <c r="Q28" t="str">
        <f t="shared" si="5"/>
        <v>Overstock</v>
      </c>
      <c r="R28" t="str">
        <f t="shared" si="6"/>
        <v>A</v>
      </c>
      <c r="S28" s="2">
        <f>IFERROR(_xlfn.MAXIFS(Transactions_T[Date],Transactions_T[SKU],A28),"")</f>
        <v>46139</v>
      </c>
      <c r="T28">
        <f t="shared" si="7"/>
        <v>64</v>
      </c>
      <c r="U28" t="str">
        <f t="shared" si="8"/>
        <v>No</v>
      </c>
      <c r="V28">
        <f t="shared" si="9"/>
        <v>4</v>
      </c>
      <c r="W28" s="15">
        <f t="shared" si="10"/>
        <v>46267</v>
      </c>
    </row>
    <row r="29" spans="1:23" x14ac:dyDescent="0.25">
      <c r="A29" s="3" t="s">
        <v>113</v>
      </c>
      <c r="B29" s="3" t="s">
        <v>114</v>
      </c>
      <c r="C29" s="3" t="s">
        <v>106</v>
      </c>
      <c r="D29" s="3" t="s">
        <v>22</v>
      </c>
      <c r="E29" t="str">
        <f>INDEX(Suppliers_T[SupplierName],MATCH(D29,Suppliers_T[SupplierID],0))</f>
        <v>Quality Imports Ltd</v>
      </c>
      <c r="F29" s="8">
        <v>900</v>
      </c>
      <c r="G29" s="3">
        <v>20</v>
      </c>
      <c r="H29" s="9">
        <v>1.78</v>
      </c>
      <c r="I29">
        <f>SUMIFS(MonthlyMovement_T[Closing],MonthlyMovement_T[SKU],A29,MonthlyMovement_T[Month],"Jun-2026")</f>
        <v>79</v>
      </c>
      <c r="J29" s="4">
        <f>INDEX(Suppliers_T[AvgLeadTime],MATCH(D29,Suppliers_T[SupplierID],0))</f>
        <v>9.1666666666666661</v>
      </c>
      <c r="K29">
        <f>INDEX(Suppliers_T[LeadTimeRange],MATCH(D29,Suppliers_T[SupplierID],0))</f>
        <v>3</v>
      </c>
      <c r="L29">
        <f t="shared" si="0"/>
        <v>42</v>
      </c>
      <c r="M29" s="4">
        <f t="shared" si="1"/>
        <v>44.382022471910112</v>
      </c>
      <c r="N29">
        <f t="shared" si="2"/>
        <v>5</v>
      </c>
      <c r="O29" s="10">
        <f t="shared" si="3"/>
        <v>71100</v>
      </c>
      <c r="P29" s="10">
        <f t="shared" si="4"/>
        <v>584730</v>
      </c>
      <c r="Q29" t="str">
        <f t="shared" si="5"/>
        <v>Healthy</v>
      </c>
      <c r="R29" t="str">
        <f t="shared" si="6"/>
        <v>C</v>
      </c>
      <c r="S29" s="2">
        <f>IFERROR(_xlfn.MAXIFS(Transactions_T[Date],Transactions_T[SKU],A29),"")</f>
        <v>46198</v>
      </c>
      <c r="T29">
        <f t="shared" si="7"/>
        <v>5</v>
      </c>
      <c r="U29" t="str">
        <f t="shared" si="8"/>
        <v>No</v>
      </c>
      <c r="V29">
        <f t="shared" si="9"/>
        <v>3</v>
      </c>
      <c r="W29" s="15">
        <f t="shared" si="10"/>
        <v>46247</v>
      </c>
    </row>
    <row r="30" spans="1:23" x14ac:dyDescent="0.25">
      <c r="A30" s="3" t="s">
        <v>115</v>
      </c>
      <c r="B30" s="3" t="s">
        <v>116</v>
      </c>
      <c r="C30" s="3" t="s">
        <v>106</v>
      </c>
      <c r="D30" s="3" t="s">
        <v>22</v>
      </c>
      <c r="E30" t="str">
        <f>INDEX(Suppliers_T[SupplierName],MATCH(D30,Suppliers_T[SupplierID],0))</f>
        <v>Quality Imports Ltd</v>
      </c>
      <c r="F30" s="8">
        <v>3200</v>
      </c>
      <c r="G30" s="3">
        <v>10</v>
      </c>
      <c r="H30" s="9">
        <v>3.07</v>
      </c>
      <c r="I30">
        <f>SUMIFS(MonthlyMovement_T[Closing],MonthlyMovement_T[SKU],A30,MonthlyMovement_T[Month],"Jun-2026")</f>
        <v>54</v>
      </c>
      <c r="J30" s="4">
        <f>INDEX(Suppliers_T[AvgLeadTime],MATCH(D30,Suppliers_T[SupplierID],0))</f>
        <v>9.1666666666666661</v>
      </c>
      <c r="K30">
        <f>INDEX(Suppliers_T[LeadTimeRange],MATCH(D30,Suppliers_T[SupplierID],0))</f>
        <v>3</v>
      </c>
      <c r="L30">
        <f t="shared" si="0"/>
        <v>47</v>
      </c>
      <c r="M30" s="4">
        <f t="shared" si="1"/>
        <v>17.589576547231271</v>
      </c>
      <c r="N30">
        <f t="shared" si="2"/>
        <v>40</v>
      </c>
      <c r="O30" s="10">
        <f t="shared" si="3"/>
        <v>172800</v>
      </c>
      <c r="P30" s="10">
        <f t="shared" si="4"/>
        <v>3585760</v>
      </c>
      <c r="Q30" t="str">
        <f t="shared" si="5"/>
        <v>Healthy</v>
      </c>
      <c r="R30" t="str">
        <f t="shared" si="6"/>
        <v>A</v>
      </c>
      <c r="S30" s="2">
        <f>IFERROR(_xlfn.MAXIFS(Transactions_T[Date],Transactions_T[SKU],A30),"")</f>
        <v>46194</v>
      </c>
      <c r="T30">
        <f t="shared" si="7"/>
        <v>9</v>
      </c>
      <c r="U30" t="str">
        <f t="shared" si="8"/>
        <v>No</v>
      </c>
      <c r="V30">
        <f t="shared" si="9"/>
        <v>3</v>
      </c>
      <c r="W30" s="15">
        <f t="shared" si="10"/>
        <v>46220</v>
      </c>
    </row>
    <row r="31" spans="1:23" x14ac:dyDescent="0.25">
      <c r="A31" s="3" t="s">
        <v>117</v>
      </c>
      <c r="B31" s="3" t="s">
        <v>118</v>
      </c>
      <c r="C31" s="3" t="s">
        <v>106</v>
      </c>
      <c r="D31" s="3" t="s">
        <v>22</v>
      </c>
      <c r="E31" t="str">
        <f>INDEX(Suppliers_T[SupplierName],MATCH(D31,Suppliers_T[SupplierID],0))</f>
        <v>Quality Imports Ltd</v>
      </c>
      <c r="F31" s="8">
        <v>2600</v>
      </c>
      <c r="G31" s="3">
        <v>10</v>
      </c>
      <c r="H31" s="9">
        <v>1.7</v>
      </c>
      <c r="I31">
        <f>SUMIFS(MonthlyMovement_T[Closing],MonthlyMovement_T[SKU],A31,MonthlyMovement_T[Month],"Jun-2026")</f>
        <v>48</v>
      </c>
      <c r="J31" s="4">
        <f>INDEX(Suppliers_T[AvgLeadTime],MATCH(D31,Suppliers_T[SupplierID],0))</f>
        <v>9.1666666666666661</v>
      </c>
      <c r="K31">
        <f>INDEX(Suppliers_T[LeadTimeRange],MATCH(D31,Suppliers_T[SupplierID],0))</f>
        <v>3</v>
      </c>
      <c r="L31">
        <f t="shared" si="0"/>
        <v>31</v>
      </c>
      <c r="M31" s="4">
        <f t="shared" si="1"/>
        <v>28.235294117647058</v>
      </c>
      <c r="N31">
        <f t="shared" si="2"/>
        <v>14</v>
      </c>
      <c r="O31" s="10">
        <f t="shared" si="3"/>
        <v>124800</v>
      </c>
      <c r="P31" s="10">
        <f t="shared" si="4"/>
        <v>1613300</v>
      </c>
      <c r="Q31" t="str">
        <f t="shared" si="5"/>
        <v>Healthy</v>
      </c>
      <c r="R31" t="str">
        <f t="shared" si="6"/>
        <v>B</v>
      </c>
      <c r="S31" s="2">
        <f>IFERROR(_xlfn.MAXIFS(Transactions_T[Date],Transactions_T[SKU],A31),"")</f>
        <v>46194</v>
      </c>
      <c r="T31">
        <f t="shared" si="7"/>
        <v>9</v>
      </c>
      <c r="U31" t="str">
        <f t="shared" si="8"/>
        <v>No</v>
      </c>
      <c r="V31">
        <f t="shared" si="9"/>
        <v>3</v>
      </c>
      <c r="W31" s="15">
        <f t="shared" si="10"/>
        <v>46231</v>
      </c>
    </row>
    <row r="33" spans="1:21" x14ac:dyDescent="0.25">
      <c r="A33" s="11" t="s">
        <v>119</v>
      </c>
      <c r="U33" s="15"/>
    </row>
    <row r="34" spans="1:21" x14ac:dyDescent="0.25">
      <c r="A34" s="6" t="s">
        <v>120</v>
      </c>
    </row>
    <row r="35" spans="1:21" x14ac:dyDescent="0.25">
      <c r="A35" s="6" t="s">
        <v>121</v>
      </c>
    </row>
    <row r="36" spans="1:21" x14ac:dyDescent="0.25">
      <c r="A36" s="6" t="s">
        <v>122</v>
      </c>
    </row>
    <row r="37" spans="1:21" x14ac:dyDescent="0.25">
      <c r="A37" s="6" t="s">
        <v>123</v>
      </c>
    </row>
    <row r="38" spans="1:21" x14ac:dyDescent="0.25">
      <c r="A38" s="6" t="s">
        <v>124</v>
      </c>
    </row>
    <row r="39" spans="1:21" x14ac:dyDescent="0.25">
      <c r="A39" s="6" t="s">
        <v>125</v>
      </c>
    </row>
    <row r="40" spans="1:21" x14ac:dyDescent="0.25">
      <c r="A40" s="6" t="s">
        <v>126</v>
      </c>
    </row>
    <row r="41" spans="1:21" x14ac:dyDescent="0.25">
      <c r="A41" s="6" t="s">
        <v>127</v>
      </c>
    </row>
    <row r="42" spans="1:21" x14ac:dyDescent="0.25">
      <c r="A42" s="6" t="s">
        <v>128</v>
      </c>
    </row>
    <row r="43" spans="1:21" x14ac:dyDescent="0.25">
      <c r="A43" s="6" t="s">
        <v>129</v>
      </c>
    </row>
    <row r="44" spans="1:21" x14ac:dyDescent="0.25">
      <c r="A44" s="6" t="s">
        <v>130</v>
      </c>
    </row>
  </sheetData>
  <conditionalFormatting sqref="Q2:Q31">
    <cfRule type="expression" dxfId="6" priority="2">
      <formula>Q2="Out of Stock"</formula>
    </cfRule>
    <cfRule type="expression" dxfId="5" priority="3">
      <formula>Q2="Critical"</formula>
    </cfRule>
    <cfRule type="expression" dxfId="4" priority="4">
      <formula>Q2="Reorder"</formula>
    </cfRule>
    <cfRule type="expression" dxfId="3" priority="5">
      <formula>Q2="Overstock"</formula>
    </cfRule>
    <cfRule type="expression" dxfId="2" priority="6">
      <formula>Q2="Healthy"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83"/>
  <sheetViews>
    <sheetView topLeftCell="A163" zoomScaleNormal="100" workbookViewId="0">
      <selection activeCell="A183" sqref="A183"/>
    </sheetView>
  </sheetViews>
  <sheetFormatPr defaultColWidth="8.7109375" defaultRowHeight="15" x14ac:dyDescent="0.25"/>
  <cols>
    <col min="1" max="1" width="12" customWidth="1"/>
    <col min="2" max="3" width="10" customWidth="1"/>
    <col min="4" max="4" width="26" customWidth="1"/>
    <col min="5" max="5" width="20" customWidth="1"/>
    <col min="6" max="6" width="24" customWidth="1"/>
    <col min="7" max="10" width="10" customWidth="1"/>
    <col min="11" max="11" width="13" customWidth="1"/>
    <col min="12" max="12" width="10" customWidth="1"/>
    <col min="13" max="13" width="14" customWidth="1"/>
    <col min="14" max="14" width="10" customWidth="1"/>
    <col min="15" max="15" width="13" customWidth="1"/>
    <col min="16" max="16" width="14" customWidth="1"/>
    <col min="17" max="19" width="13" customWidth="1"/>
    <col min="20" max="20" width="16" customWidth="1"/>
  </cols>
  <sheetData>
    <row r="1" spans="1:20" ht="30" x14ac:dyDescent="0.25">
      <c r="A1" s="1" t="s">
        <v>26</v>
      </c>
      <c r="B1" s="1" t="s">
        <v>27</v>
      </c>
      <c r="C1" s="1" t="s">
        <v>35</v>
      </c>
      <c r="D1" s="1" t="s">
        <v>36</v>
      </c>
      <c r="E1" s="1" t="s">
        <v>37</v>
      </c>
      <c r="F1" s="1" t="s">
        <v>10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42</v>
      </c>
      <c r="O1" s="1" t="s">
        <v>43</v>
      </c>
      <c r="P1" s="1" t="s">
        <v>47</v>
      </c>
      <c r="Q1" s="1" t="s">
        <v>51</v>
      </c>
      <c r="R1" s="1" t="s">
        <v>52</v>
      </c>
      <c r="S1" s="1" t="s">
        <v>138</v>
      </c>
      <c r="T1" s="1" t="s">
        <v>50</v>
      </c>
    </row>
    <row r="2" spans="1:20" x14ac:dyDescent="0.25">
      <c r="A2" s="7">
        <v>46023</v>
      </c>
      <c r="B2" s="3" t="s">
        <v>29</v>
      </c>
      <c r="C2" s="3" t="s">
        <v>54</v>
      </c>
      <c r="D2" t="str">
        <f>INDEX(Products_T[ProductName],MATCH(C2,Products_T[SKU],0))</f>
        <v>Coca-Cola 1.5L</v>
      </c>
      <c r="E2" t="str">
        <f>INDEX(Products_T[Category],MATCH(C2,Products_T[SKU],0))</f>
        <v>Beverages</v>
      </c>
      <c r="F2" t="str">
        <f>INDEX(Products_T[SupplierName],MATCH(C2,Products_T[SKU],0))</f>
        <v>Global Distributors Ltd</v>
      </c>
      <c r="G2" s="3">
        <v>102</v>
      </c>
      <c r="H2" s="3">
        <v>261</v>
      </c>
      <c r="I2" s="3">
        <v>180</v>
      </c>
      <c r="J2" s="3">
        <v>0</v>
      </c>
      <c r="K2" s="3">
        <v>0</v>
      </c>
      <c r="L2">
        <f t="shared" ref="L2:L33" si="0">MAX(G2+H2-I2-J2+K2,0)</f>
        <v>183</v>
      </c>
      <c r="M2" s="10">
        <f>L2*INDEX(Products_T[UnitCost],MATCH(C2,Products_T[SKU],0))</f>
        <v>45750</v>
      </c>
      <c r="N2">
        <f>ROUND(INDEX(Products_T[AvgDailyUsage],MATCH(C2,Products_T[SKU],0))*(INDEX(Products_T[AvgLeadTime],MATCH(C2,Products_T[SKU],0))+INDEX(Products_T[LeadTimeRange],MATCH(C2,Products_T[SKU],0)))+INDEX(Products_T[SafetyStock],MATCH(C2,Products_T[SKU],0)),0)</f>
        <v>81</v>
      </c>
      <c r="O2" s="4">
        <f>IFERROR(L2/INDEX(Products_T[AvgDailyUsage],MATCH(C2,Products_T[SKU],0)),0)</f>
        <v>25.17193947730399</v>
      </c>
      <c r="P2" t="str">
        <f t="shared" ref="P2:P33" si="1">IF(L2=0,"Out of Stock",IF(L2&lt;0.5*N2,"Critical",IF(L2&lt;=N2,"Reorder",IF(L2&gt;2*N2,"Overstock","Healthy"))))</f>
        <v>Overstock</v>
      </c>
      <c r="Q2" t="str">
        <f t="shared" ref="Q2:Q33" si="2">IF(OR(P2="Out of Stock",P2="Critical",P2="Reorder"),"Yes","No")</f>
        <v>No</v>
      </c>
      <c r="R2">
        <f t="shared" ref="R2:R33" si="3">_xlfn.SWITCH(P2,"Out of Stock",0,"Critical",1,"Reorder",2,"Healthy",3,"Overstock",4,5)</f>
        <v>4</v>
      </c>
      <c r="S2" s="2">
        <f t="shared" ref="S2:S33" si="4">EOMONTH(A2,0)</f>
        <v>46053</v>
      </c>
      <c r="T2" s="12">
        <f>IFERROR(S2-_xlfn.MAXIFS(Transactions_T[Date],Transactions_T[SKU],C2,Transactions_T[Date],"&lt;="&amp;S2),"")</f>
        <v>8</v>
      </c>
    </row>
    <row r="3" spans="1:20" x14ac:dyDescent="0.25">
      <c r="A3" s="7">
        <v>46023</v>
      </c>
      <c r="B3" s="3" t="s">
        <v>29</v>
      </c>
      <c r="C3" s="3" t="s">
        <v>57</v>
      </c>
      <c r="D3" t="str">
        <f>INDEX(Products_T[ProductName],MATCH(C3,Products_T[SKU],0))</f>
        <v>Sprite 1.5L</v>
      </c>
      <c r="E3" t="str">
        <f>INDEX(Products_T[Category],MATCH(C3,Products_T[SKU],0))</f>
        <v>Beverages</v>
      </c>
      <c r="F3" t="str">
        <f>INDEX(Products_T[SupplierName],MATCH(C3,Products_T[SKU],0))</f>
        <v>Global Distributors Ltd</v>
      </c>
      <c r="G3" s="3">
        <v>137</v>
      </c>
      <c r="H3" s="3">
        <v>276</v>
      </c>
      <c r="I3" s="3">
        <v>373</v>
      </c>
      <c r="J3" s="3">
        <v>0</v>
      </c>
      <c r="K3" s="3">
        <v>0</v>
      </c>
      <c r="L3">
        <f t="shared" si="0"/>
        <v>40</v>
      </c>
      <c r="M3" s="10">
        <f>L3*INDEX(Products_T[UnitCost],MATCH(C3,Products_T[SKU],0))</f>
        <v>9800</v>
      </c>
      <c r="N3">
        <f>ROUND(INDEX(Products_T[AvgDailyUsage],MATCH(C3,Products_T[SKU],0))*(INDEX(Products_T[AvgLeadTime],MATCH(C3,Products_T[SKU],0))+INDEX(Products_T[LeadTimeRange],MATCH(C3,Products_T[SKU],0)))+INDEX(Products_T[SafetyStock],MATCH(C3,Products_T[SKU],0)),0)</f>
        <v>109</v>
      </c>
      <c r="O3" s="4">
        <f>IFERROR(L3/INDEX(Products_T[AvgDailyUsage],MATCH(C3,Products_T[SKU],0)),0)</f>
        <v>3.7348272642390286</v>
      </c>
      <c r="P3" t="str">
        <f t="shared" si="1"/>
        <v>Critical</v>
      </c>
      <c r="Q3" t="str">
        <f t="shared" si="2"/>
        <v>Yes</v>
      </c>
      <c r="R3">
        <f t="shared" si="3"/>
        <v>1</v>
      </c>
      <c r="S3" s="2">
        <f t="shared" si="4"/>
        <v>46053</v>
      </c>
      <c r="T3" s="12">
        <f>IFERROR(S3-_xlfn.MAXIFS(Transactions_T[Date],Transactions_T[SKU],C3,Transactions_T[Date],"&lt;="&amp;S3),"")</f>
        <v>9</v>
      </c>
    </row>
    <row r="4" spans="1:20" x14ac:dyDescent="0.25">
      <c r="A4" s="7">
        <v>46023</v>
      </c>
      <c r="B4" s="3" t="s">
        <v>29</v>
      </c>
      <c r="C4" s="3" t="s">
        <v>59</v>
      </c>
      <c r="D4" t="str">
        <f>INDEX(Products_T[ProductName],MATCH(C4,Products_T[SKU],0))</f>
        <v>Fanta 1.5L</v>
      </c>
      <c r="E4" t="str">
        <f>INDEX(Products_T[Category],MATCH(C4,Products_T[SKU],0))</f>
        <v>Beverages</v>
      </c>
      <c r="F4" t="str">
        <f>INDEX(Products_T[SupplierName],MATCH(C4,Products_T[SKU],0))</f>
        <v>Quality Imports Ltd</v>
      </c>
      <c r="G4" s="3">
        <v>145</v>
      </c>
      <c r="H4" s="3">
        <v>416</v>
      </c>
      <c r="I4" s="3">
        <v>314</v>
      </c>
      <c r="J4" s="3">
        <v>0</v>
      </c>
      <c r="K4" s="3">
        <v>0</v>
      </c>
      <c r="L4">
        <f t="shared" si="0"/>
        <v>247</v>
      </c>
      <c r="M4" s="10">
        <f>L4*INDEX(Products_T[UnitCost],MATCH(C4,Products_T[SKU],0))</f>
        <v>59280</v>
      </c>
      <c r="N4">
        <f>ROUND(INDEX(Products_T[AvgDailyUsage],MATCH(C4,Products_T[SKU],0))*(INDEX(Products_T[AvgLeadTime],MATCH(C4,Products_T[SKU],0))+INDEX(Products_T[LeadTimeRange],MATCH(C4,Products_T[SKU],0)))+INDEX(Products_T[SafetyStock],MATCH(C4,Products_T[SKU],0)),0)</f>
        <v>170</v>
      </c>
      <c r="O4" s="4">
        <f>IFERROR(L4/INDEX(Products_T[AvgDailyUsage],MATCH(C4,Products_T[SKU],0)),0)</f>
        <v>21.422376409366869</v>
      </c>
      <c r="P4" t="str">
        <f t="shared" si="1"/>
        <v>Healthy</v>
      </c>
      <c r="Q4" t="str">
        <f t="shared" si="2"/>
        <v>No</v>
      </c>
      <c r="R4">
        <f t="shared" si="3"/>
        <v>3</v>
      </c>
      <c r="S4" s="2">
        <f t="shared" si="4"/>
        <v>46053</v>
      </c>
      <c r="T4" s="12">
        <f>IFERROR(S4-_xlfn.MAXIFS(Transactions_T[Date],Transactions_T[SKU],C4,Transactions_T[Date],"&lt;="&amp;S4),"")</f>
        <v>11</v>
      </c>
    </row>
    <row r="5" spans="1:20" x14ac:dyDescent="0.25">
      <c r="A5" s="7">
        <v>46023</v>
      </c>
      <c r="B5" s="3" t="s">
        <v>29</v>
      </c>
      <c r="C5" s="3" t="s">
        <v>61</v>
      </c>
      <c r="D5" t="str">
        <f>INDEX(Products_T[ProductName],MATCH(C5,Products_T[SKU],0))</f>
        <v>Bottled Water 75cl</v>
      </c>
      <c r="E5" t="str">
        <f>INDEX(Products_T[Category],MATCH(C5,Products_T[SKU],0))</f>
        <v>Beverages</v>
      </c>
      <c r="F5" t="str">
        <f>INDEX(Products_T[SupplierName],MATCH(C5,Products_T[SKU],0))</f>
        <v>Bulk Wholesale Co</v>
      </c>
      <c r="G5" s="3">
        <v>296</v>
      </c>
      <c r="H5" s="3">
        <v>273</v>
      </c>
      <c r="I5" s="3">
        <v>188</v>
      </c>
      <c r="J5" s="3">
        <v>0</v>
      </c>
      <c r="K5" s="3">
        <v>0</v>
      </c>
      <c r="L5">
        <f t="shared" si="0"/>
        <v>381</v>
      </c>
      <c r="M5" s="10">
        <f>L5*INDEX(Products_T[UnitCost],MATCH(C5,Products_T[SKU],0))</f>
        <v>38100</v>
      </c>
      <c r="N5">
        <f>ROUND(INDEX(Products_T[AvgDailyUsage],MATCH(C5,Products_T[SKU],0))*(INDEX(Products_T[AvgLeadTime],MATCH(C5,Products_T[SKU],0))+INDEX(Products_T[LeadTimeRange],MATCH(C5,Products_T[SKU],0)))+INDEX(Products_T[SafetyStock],MATCH(C5,Products_T[SKU],0)),0)</f>
        <v>95</v>
      </c>
      <c r="O5" s="4">
        <f>IFERROR(L5/INDEX(Products_T[AvgDailyUsage],MATCH(C5,Products_T[SKU],0)),0)</f>
        <v>48.90885750962773</v>
      </c>
      <c r="P5" t="str">
        <f t="shared" si="1"/>
        <v>Overstock</v>
      </c>
      <c r="Q5" t="str">
        <f t="shared" si="2"/>
        <v>No</v>
      </c>
      <c r="R5">
        <f t="shared" si="3"/>
        <v>4</v>
      </c>
      <c r="S5" s="2">
        <f t="shared" si="4"/>
        <v>46053</v>
      </c>
      <c r="T5" s="12">
        <f>IFERROR(S5-_xlfn.MAXIFS(Transactions_T[Date],Transactions_T[SKU],C5,Transactions_T[Date],"&lt;="&amp;S5),"")</f>
        <v>10</v>
      </c>
    </row>
    <row r="6" spans="1:20" x14ac:dyDescent="0.25">
      <c r="A6" s="7">
        <v>46023</v>
      </c>
      <c r="B6" s="3" t="s">
        <v>29</v>
      </c>
      <c r="C6" s="3" t="s">
        <v>63</v>
      </c>
      <c r="D6" t="str">
        <f>INDEX(Products_T[ProductName],MATCH(C6,Products_T[SKU],0))</f>
        <v>Malt Drink 33cl</v>
      </c>
      <c r="E6" t="str">
        <f>INDEX(Products_T[Category],MATCH(C6,Products_T[SKU],0))</f>
        <v>Beverages</v>
      </c>
      <c r="F6" t="str">
        <f>INDEX(Products_T[SupplierName],MATCH(C6,Products_T[SKU],0))</f>
        <v>Global Distributors Ltd</v>
      </c>
      <c r="G6" s="3">
        <v>168</v>
      </c>
      <c r="H6" s="3">
        <v>255</v>
      </c>
      <c r="I6" s="3">
        <v>371</v>
      </c>
      <c r="J6" s="3">
        <v>0</v>
      </c>
      <c r="K6" s="3">
        <v>0</v>
      </c>
      <c r="L6">
        <f t="shared" si="0"/>
        <v>52</v>
      </c>
      <c r="M6" s="10">
        <f>L6*INDEX(Products_T[UnitCost],MATCH(C6,Products_T[SKU],0))</f>
        <v>9360</v>
      </c>
      <c r="N6">
        <f>ROUND(INDEX(Products_T[AvgDailyUsage],MATCH(C6,Products_T[SKU],0))*(INDEX(Products_T[AvgLeadTime],MATCH(C6,Products_T[SKU],0))+INDEX(Products_T[LeadTimeRange],MATCH(C6,Products_T[SKU],0)))+INDEX(Products_T[SafetyStock],MATCH(C6,Products_T[SKU],0)),0)</f>
        <v>105</v>
      </c>
      <c r="O6" s="4">
        <f>IFERROR(L6/INDEX(Products_T[AvgDailyUsage],MATCH(C6,Products_T[SKU],0)),0)</f>
        <v>5.4279749478079333</v>
      </c>
      <c r="P6" t="str">
        <f t="shared" si="1"/>
        <v>Critical</v>
      </c>
      <c r="Q6" t="str">
        <f t="shared" si="2"/>
        <v>Yes</v>
      </c>
      <c r="R6">
        <f t="shared" si="3"/>
        <v>1</v>
      </c>
      <c r="S6" s="2">
        <f t="shared" si="4"/>
        <v>46053</v>
      </c>
      <c r="T6" s="12">
        <f>IFERROR(S6-_xlfn.MAXIFS(Transactions_T[Date],Transactions_T[SKU],C6,Transactions_T[Date],"&lt;="&amp;S6),"")</f>
        <v>3</v>
      </c>
    </row>
    <row r="7" spans="1:20" x14ac:dyDescent="0.25">
      <c r="A7" s="7">
        <v>46023</v>
      </c>
      <c r="B7" s="3" t="s">
        <v>29</v>
      </c>
      <c r="C7" s="3" t="s">
        <v>65</v>
      </c>
      <c r="D7" t="str">
        <f>INDEX(Products_T[ProductName],MATCH(C7,Products_T[SKU],0))</f>
        <v>Colgate Toothpaste 100ml</v>
      </c>
      <c r="E7" t="str">
        <f>INDEX(Products_T[Category],MATCH(C7,Products_T[SKU],0))</f>
        <v>Personal Care</v>
      </c>
      <c r="F7" t="str">
        <f>INDEX(Products_T[SupplierName],MATCH(C7,Products_T[SKU],0))</f>
        <v>Premier Supplies Ltd</v>
      </c>
      <c r="G7" s="3">
        <v>132</v>
      </c>
      <c r="H7" s="3">
        <v>164</v>
      </c>
      <c r="I7" s="3">
        <v>106</v>
      </c>
      <c r="J7" s="3">
        <v>0</v>
      </c>
      <c r="K7" s="3">
        <v>0</v>
      </c>
      <c r="L7">
        <f t="shared" si="0"/>
        <v>190</v>
      </c>
      <c r="M7" s="10">
        <f>L7*INDEX(Products_T[UnitCost],MATCH(C7,Products_T[SKU],0))</f>
        <v>85500</v>
      </c>
      <c r="N7">
        <f>ROUND(INDEX(Products_T[AvgDailyUsage],MATCH(C7,Products_T[SKU],0))*(INDEX(Products_T[AvgLeadTime],MATCH(C7,Products_T[SKU],0))+INDEX(Products_T[LeadTimeRange],MATCH(C7,Products_T[SKU],0)))+INDEX(Products_T[SafetyStock],MATCH(C7,Products_T[SKU],0)),0)</f>
        <v>68</v>
      </c>
      <c r="O7" s="4">
        <f>IFERROR(L7/INDEX(Products_T[AvgDailyUsage],MATCH(C7,Products_T[SKU],0)),0)</f>
        <v>41.214750542299349</v>
      </c>
      <c r="P7" t="str">
        <f t="shared" si="1"/>
        <v>Overstock</v>
      </c>
      <c r="Q7" t="str">
        <f t="shared" si="2"/>
        <v>No</v>
      </c>
      <c r="R7">
        <f t="shared" si="3"/>
        <v>4</v>
      </c>
      <c r="S7" s="2">
        <f t="shared" si="4"/>
        <v>46053</v>
      </c>
      <c r="T7" s="12">
        <f>IFERROR(S7-_xlfn.MAXIFS(Transactions_T[Date],Transactions_T[SKU],C7,Transactions_T[Date],"&lt;="&amp;S7),"")</f>
        <v>14</v>
      </c>
    </row>
    <row r="8" spans="1:20" x14ac:dyDescent="0.25">
      <c r="A8" s="7">
        <v>46023</v>
      </c>
      <c r="B8" s="3" t="s">
        <v>29</v>
      </c>
      <c r="C8" s="3" t="s">
        <v>68</v>
      </c>
      <c r="D8" t="str">
        <f>INDEX(Products_T[ProductName],MATCH(C8,Products_T[SKU],0))</f>
        <v>Dettol Soap 100g</v>
      </c>
      <c r="E8" t="str">
        <f>INDEX(Products_T[Category],MATCH(C8,Products_T[SKU],0))</f>
        <v>Personal Care</v>
      </c>
      <c r="F8" t="str">
        <f>INDEX(Products_T[SupplierName],MATCH(C8,Products_T[SKU],0))</f>
        <v>Premier Supplies Ltd</v>
      </c>
      <c r="G8" s="3">
        <v>124</v>
      </c>
      <c r="H8" s="3">
        <v>136</v>
      </c>
      <c r="I8" s="3">
        <v>193</v>
      </c>
      <c r="J8" s="3">
        <v>0</v>
      </c>
      <c r="K8" s="3">
        <v>0</v>
      </c>
      <c r="L8">
        <f t="shared" si="0"/>
        <v>67</v>
      </c>
      <c r="M8" s="10">
        <f>L8*INDEX(Products_T[UnitCost],MATCH(C8,Products_T[SKU],0))</f>
        <v>14740</v>
      </c>
      <c r="N8">
        <f>ROUND(INDEX(Products_T[AvgDailyUsage],MATCH(C8,Products_T[SKU],0))*(INDEX(Products_T[AvgLeadTime],MATCH(C8,Products_T[SKU],0))+INDEX(Products_T[LeadTimeRange],MATCH(C8,Products_T[SKU],0)))+INDEX(Products_T[SafetyStock],MATCH(C8,Products_T[SKU],0)),0)</f>
        <v>73</v>
      </c>
      <c r="O8" s="4">
        <f>IFERROR(L8/INDEX(Products_T[AvgDailyUsage],MATCH(C8,Products_T[SKU],0)),0)</f>
        <v>13.320079522862823</v>
      </c>
      <c r="P8" t="str">
        <f t="shared" si="1"/>
        <v>Reorder</v>
      </c>
      <c r="Q8" t="str">
        <f t="shared" si="2"/>
        <v>Yes</v>
      </c>
      <c r="R8">
        <f t="shared" si="3"/>
        <v>2</v>
      </c>
      <c r="S8" s="2">
        <f t="shared" si="4"/>
        <v>46053</v>
      </c>
      <c r="T8" s="12">
        <f>IFERROR(S8-_xlfn.MAXIFS(Transactions_T[Date],Transactions_T[SKU],C8,Transactions_T[Date],"&lt;="&amp;S8),"")</f>
        <v>3</v>
      </c>
    </row>
    <row r="9" spans="1:20" x14ac:dyDescent="0.25">
      <c r="A9" s="7">
        <v>46023</v>
      </c>
      <c r="B9" s="3" t="s">
        <v>29</v>
      </c>
      <c r="C9" s="3" t="s">
        <v>70</v>
      </c>
      <c r="D9" t="str">
        <f>INDEX(Products_T[ProductName],MATCH(C9,Products_T[SKU],0))</f>
        <v>Sunsilk Shampoo 200ml</v>
      </c>
      <c r="E9" t="str">
        <f>INDEX(Products_T[Category],MATCH(C9,Products_T[SKU],0))</f>
        <v>Personal Care</v>
      </c>
      <c r="F9" t="str">
        <f>INDEX(Products_T[SupplierName],MATCH(C9,Products_T[SKU],0))</f>
        <v>Premier Supplies Ltd</v>
      </c>
      <c r="G9" s="3">
        <v>75</v>
      </c>
      <c r="H9" s="3">
        <v>217</v>
      </c>
      <c r="I9" s="3">
        <v>276</v>
      </c>
      <c r="J9" s="3">
        <v>0</v>
      </c>
      <c r="K9" s="3">
        <v>0</v>
      </c>
      <c r="L9">
        <f t="shared" si="0"/>
        <v>16</v>
      </c>
      <c r="M9" s="10">
        <f>L9*INDEX(Products_T[UnitCost],MATCH(C9,Products_T[SKU],0))</f>
        <v>8800</v>
      </c>
      <c r="N9">
        <f>ROUND(INDEX(Products_T[AvgDailyUsage],MATCH(C9,Products_T[SKU],0))*(INDEX(Products_T[AvgLeadTime],MATCH(C9,Products_T[SKU],0))+INDEX(Products_T[LeadTimeRange],MATCH(C9,Products_T[SKU],0)))+INDEX(Products_T[SafetyStock],MATCH(C9,Products_T[SKU],0)),0)</f>
        <v>108</v>
      </c>
      <c r="O9" s="4">
        <f>IFERROR(L9/INDEX(Products_T[AvgDailyUsage],MATCH(C9,Products_T[SKU],0)),0)</f>
        <v>2.0125786163522013</v>
      </c>
      <c r="P9" t="str">
        <f t="shared" si="1"/>
        <v>Critical</v>
      </c>
      <c r="Q9" t="str">
        <f t="shared" si="2"/>
        <v>Yes</v>
      </c>
      <c r="R9">
        <f t="shared" si="3"/>
        <v>1</v>
      </c>
      <c r="S9" s="2">
        <f t="shared" si="4"/>
        <v>46053</v>
      </c>
      <c r="T9" s="12">
        <f>IFERROR(S9-_xlfn.MAXIFS(Transactions_T[Date],Transactions_T[SKU],C9,Transactions_T[Date],"&lt;="&amp;S9),"")</f>
        <v>10</v>
      </c>
    </row>
    <row r="10" spans="1:20" x14ac:dyDescent="0.25">
      <c r="A10" s="7">
        <v>46023</v>
      </c>
      <c r="B10" s="3" t="s">
        <v>29</v>
      </c>
      <c r="C10" s="3" t="s">
        <v>72</v>
      </c>
      <c r="D10" t="str">
        <f>INDEX(Products_T[ProductName],MATCH(C10,Products_T[SKU],0))</f>
        <v>Vaseline Lotion 400ml</v>
      </c>
      <c r="E10" t="str">
        <f>INDEX(Products_T[Category],MATCH(C10,Products_T[SKU],0))</f>
        <v>Personal Care</v>
      </c>
      <c r="F10" t="str">
        <f>INDEX(Products_T[SupplierName],MATCH(C10,Products_T[SKU],0))</f>
        <v>Local Sourcing Ltd</v>
      </c>
      <c r="G10" s="3">
        <v>107</v>
      </c>
      <c r="H10" s="3">
        <v>205</v>
      </c>
      <c r="I10" s="3">
        <v>288</v>
      </c>
      <c r="J10" s="3">
        <v>0</v>
      </c>
      <c r="K10" s="3">
        <v>0</v>
      </c>
      <c r="L10">
        <f t="shared" si="0"/>
        <v>24</v>
      </c>
      <c r="M10" s="10">
        <f>L10*INDEX(Products_T[UnitCost],MATCH(C10,Products_T[SKU],0))</f>
        <v>14880</v>
      </c>
      <c r="N10">
        <f>ROUND(INDEX(Products_T[AvgDailyUsage],MATCH(C10,Products_T[SKU],0))*(INDEX(Products_T[AvgLeadTime],MATCH(C10,Products_T[SKU],0))+INDEX(Products_T[LeadTimeRange],MATCH(C10,Products_T[SKU],0)))+INDEX(Products_T[SafetyStock],MATCH(C10,Products_T[SKU],0)),0)</f>
        <v>67</v>
      </c>
      <c r="O10" s="4">
        <f>IFERROR(L10/INDEX(Products_T[AvgDailyUsage],MATCH(C10,Products_T[SKU],0)),0)</f>
        <v>2.7491408934707904</v>
      </c>
      <c r="P10" t="str">
        <f t="shared" si="1"/>
        <v>Critical</v>
      </c>
      <c r="Q10" t="str">
        <f t="shared" si="2"/>
        <v>Yes</v>
      </c>
      <c r="R10">
        <f t="shared" si="3"/>
        <v>1</v>
      </c>
      <c r="S10" s="2">
        <f t="shared" si="4"/>
        <v>46053</v>
      </c>
      <c r="T10" s="12">
        <f>IFERROR(S10-_xlfn.MAXIFS(Transactions_T[Date],Transactions_T[SKU],C10,Transactions_T[Date],"&lt;="&amp;S10),"")</f>
        <v>14</v>
      </c>
    </row>
    <row r="11" spans="1:20" x14ac:dyDescent="0.25">
      <c r="A11" s="7">
        <v>46023</v>
      </c>
      <c r="B11" s="3" t="s">
        <v>29</v>
      </c>
      <c r="C11" s="3" t="s">
        <v>74</v>
      </c>
      <c r="D11" t="str">
        <f>INDEX(Products_T[ProductName],MATCH(C11,Products_T[SKU],0))</f>
        <v>Always Sanitary Pads</v>
      </c>
      <c r="E11" t="str">
        <f>INDEX(Products_T[Category],MATCH(C11,Products_T[SKU],0))</f>
        <v>Personal Care</v>
      </c>
      <c r="F11" t="str">
        <f>INDEX(Products_T[SupplierName],MATCH(C11,Products_T[SKU],0))</f>
        <v>Premier Supplies Ltd</v>
      </c>
      <c r="G11" s="3">
        <v>22</v>
      </c>
      <c r="H11" s="3">
        <v>173</v>
      </c>
      <c r="I11" s="3">
        <v>145</v>
      </c>
      <c r="J11" s="3">
        <v>0</v>
      </c>
      <c r="K11" s="3">
        <v>0</v>
      </c>
      <c r="L11">
        <f t="shared" si="0"/>
        <v>50</v>
      </c>
      <c r="M11" s="10">
        <f>L11*INDEX(Products_T[UnitCost],MATCH(C11,Products_T[SKU],0))</f>
        <v>19000</v>
      </c>
      <c r="N11">
        <f>ROUND(INDEX(Products_T[AvgDailyUsage],MATCH(C11,Products_T[SKU],0))*(INDEX(Products_T[AvgLeadTime],MATCH(C11,Products_T[SKU],0))+INDEX(Products_T[LeadTimeRange],MATCH(C11,Products_T[SKU],0)))+INDEX(Products_T[SafetyStock],MATCH(C11,Products_T[SKU],0)),0)</f>
        <v>75</v>
      </c>
      <c r="O11" s="4">
        <f>IFERROR(L11/INDEX(Products_T[AvgDailyUsage],MATCH(C11,Products_T[SKU],0)),0)</f>
        <v>9.615384615384615</v>
      </c>
      <c r="P11" t="str">
        <f t="shared" si="1"/>
        <v>Reorder</v>
      </c>
      <c r="Q11" t="str">
        <f t="shared" si="2"/>
        <v>Yes</v>
      </c>
      <c r="R11">
        <f t="shared" si="3"/>
        <v>2</v>
      </c>
      <c r="S11" s="2">
        <f t="shared" si="4"/>
        <v>46053</v>
      </c>
      <c r="T11" s="12">
        <f>IFERROR(S11-_xlfn.MAXIFS(Transactions_T[Date],Transactions_T[SKU],C11,Transactions_T[Date],"&lt;="&amp;S11),"")</f>
        <v>7</v>
      </c>
    </row>
    <row r="12" spans="1:20" x14ac:dyDescent="0.25">
      <c r="A12" s="7">
        <v>46023</v>
      </c>
      <c r="B12" s="3" t="s">
        <v>29</v>
      </c>
      <c r="C12" s="3" t="s">
        <v>76</v>
      </c>
      <c r="D12" t="str">
        <f>INDEX(Products_T[ProductName],MATCH(C12,Products_T[SKU],0))</f>
        <v>Indomie Noodles Carton</v>
      </c>
      <c r="E12" t="str">
        <f>INDEX(Products_T[Category],MATCH(C12,Products_T[SKU],0))</f>
        <v>Packaged Foods</v>
      </c>
      <c r="F12" t="str">
        <f>INDEX(Products_T[SupplierName],MATCH(C12,Products_T[SKU],0))</f>
        <v>Bulk Wholesale Co</v>
      </c>
      <c r="G12" s="3">
        <v>82</v>
      </c>
      <c r="H12" s="3">
        <v>264</v>
      </c>
      <c r="I12" s="3">
        <v>209</v>
      </c>
      <c r="J12" s="3">
        <v>0</v>
      </c>
      <c r="K12" s="3">
        <v>0</v>
      </c>
      <c r="L12">
        <f t="shared" si="0"/>
        <v>137</v>
      </c>
      <c r="M12" s="10">
        <f>L12*INDEX(Products_T[UnitCost],MATCH(C12,Products_T[SKU],0))</f>
        <v>575400</v>
      </c>
      <c r="N12">
        <f>ROUND(INDEX(Products_T[AvgDailyUsage],MATCH(C12,Products_T[SKU],0))*(INDEX(Products_T[AvgLeadTime],MATCH(C12,Products_T[SKU],0))+INDEX(Products_T[LeadTimeRange],MATCH(C12,Products_T[SKU],0)))+INDEX(Products_T[SafetyStock],MATCH(C12,Products_T[SKU],0)),0)</f>
        <v>69</v>
      </c>
      <c r="O12" s="4">
        <f>IFERROR(L12/INDEX(Products_T[AvgDailyUsage],MATCH(C12,Products_T[SKU],0)),0)</f>
        <v>17.769130998702984</v>
      </c>
      <c r="P12" t="str">
        <f t="shared" si="1"/>
        <v>Healthy</v>
      </c>
      <c r="Q12" t="str">
        <f t="shared" si="2"/>
        <v>No</v>
      </c>
      <c r="R12">
        <f t="shared" si="3"/>
        <v>3</v>
      </c>
      <c r="S12" s="2">
        <f t="shared" si="4"/>
        <v>46053</v>
      </c>
      <c r="T12" s="12">
        <f>IFERROR(S12-_xlfn.MAXIFS(Transactions_T[Date],Transactions_T[SKU],C12,Transactions_T[Date],"&lt;="&amp;S12),"")</f>
        <v>8</v>
      </c>
    </row>
    <row r="13" spans="1:20" x14ac:dyDescent="0.25">
      <c r="A13" s="7">
        <v>46023</v>
      </c>
      <c r="B13" s="3" t="s">
        <v>29</v>
      </c>
      <c r="C13" s="3" t="s">
        <v>79</v>
      </c>
      <c r="D13" t="str">
        <f>INDEX(Products_T[ProductName],MATCH(C13,Products_T[SKU],0))</f>
        <v>Golden Penny Semovita 1kg</v>
      </c>
      <c r="E13" t="str">
        <f>INDEX(Products_T[Category],MATCH(C13,Products_T[SKU],0))</f>
        <v>Packaged Foods</v>
      </c>
      <c r="F13" t="str">
        <f>INDEX(Products_T[SupplierName],MATCH(C13,Products_T[SKU],0))</f>
        <v>Bulk Wholesale Co</v>
      </c>
      <c r="G13" s="3">
        <v>89</v>
      </c>
      <c r="H13" s="3">
        <v>233</v>
      </c>
      <c r="I13" s="3">
        <v>191</v>
      </c>
      <c r="J13" s="3">
        <v>0</v>
      </c>
      <c r="K13" s="3">
        <v>0</v>
      </c>
      <c r="L13">
        <f t="shared" si="0"/>
        <v>131</v>
      </c>
      <c r="M13" s="10">
        <f>L13*INDEX(Products_T[UnitCost],MATCH(C13,Products_T[SKU],0))</f>
        <v>111350</v>
      </c>
      <c r="N13">
        <f>ROUND(INDEX(Products_T[AvgDailyUsage],MATCH(C13,Products_T[SKU],0))*(INDEX(Products_T[AvgLeadTime],MATCH(C13,Products_T[SKU],0))+INDEX(Products_T[LeadTimeRange],MATCH(C13,Products_T[SKU],0)))+INDEX(Products_T[SafetyStock],MATCH(C13,Products_T[SKU],0)),0)</f>
        <v>69</v>
      </c>
      <c r="O13" s="4">
        <f>IFERROR(L13/INDEX(Products_T[AvgDailyUsage],MATCH(C13,Products_T[SKU],0)),0)</f>
        <v>18.63442389758179</v>
      </c>
      <c r="P13" t="str">
        <f t="shared" si="1"/>
        <v>Healthy</v>
      </c>
      <c r="Q13" t="str">
        <f t="shared" si="2"/>
        <v>No</v>
      </c>
      <c r="R13">
        <f t="shared" si="3"/>
        <v>3</v>
      </c>
      <c r="S13" s="2">
        <f t="shared" si="4"/>
        <v>46053</v>
      </c>
      <c r="T13" s="12">
        <f>IFERROR(S13-_xlfn.MAXIFS(Transactions_T[Date],Transactions_T[SKU],C13,Transactions_T[Date],"&lt;="&amp;S13),"")</f>
        <v>13</v>
      </c>
    </row>
    <row r="14" spans="1:20" x14ac:dyDescent="0.25">
      <c r="A14" s="7">
        <v>46023</v>
      </c>
      <c r="B14" s="3" t="s">
        <v>29</v>
      </c>
      <c r="C14" s="3" t="s">
        <v>81</v>
      </c>
      <c r="D14" t="str">
        <f>INDEX(Products_T[ProductName],MATCH(C14,Products_T[SKU],0))</f>
        <v>Peak Milk Tin 400g</v>
      </c>
      <c r="E14" t="str">
        <f>INDEX(Products_T[Category],MATCH(C14,Products_T[SKU],0))</f>
        <v>Packaged Foods</v>
      </c>
      <c r="F14" t="str">
        <f>INDEX(Products_T[SupplierName],MATCH(C14,Products_T[SKU],0))</f>
        <v>Global Distributors Ltd</v>
      </c>
      <c r="G14" s="3">
        <v>221</v>
      </c>
      <c r="H14" s="3">
        <v>280</v>
      </c>
      <c r="I14" s="3">
        <v>167</v>
      </c>
      <c r="J14" s="3">
        <v>0</v>
      </c>
      <c r="K14" s="3">
        <v>0</v>
      </c>
      <c r="L14">
        <f t="shared" si="0"/>
        <v>334</v>
      </c>
      <c r="M14" s="10">
        <f>L14*INDEX(Products_T[UnitCost],MATCH(C14,Products_T[SKU],0))</f>
        <v>227120</v>
      </c>
      <c r="N14">
        <f>ROUND(INDEX(Products_T[AvgDailyUsage],MATCH(C14,Products_T[SKU],0))*(INDEX(Products_T[AvgLeadTime],MATCH(C14,Products_T[SKU],0))+INDEX(Products_T[LeadTimeRange],MATCH(C14,Products_T[SKU],0)))+INDEX(Products_T[SafetyStock],MATCH(C14,Products_T[SKU],0)),0)</f>
        <v>85</v>
      </c>
      <c r="O14" s="4">
        <f>IFERROR(L14/INDEX(Products_T[AvgDailyUsage],MATCH(C14,Products_T[SKU],0)),0)</f>
        <v>46.260387811634352</v>
      </c>
      <c r="P14" t="str">
        <f t="shared" si="1"/>
        <v>Overstock</v>
      </c>
      <c r="Q14" t="str">
        <f t="shared" si="2"/>
        <v>No</v>
      </c>
      <c r="R14">
        <f t="shared" si="3"/>
        <v>4</v>
      </c>
      <c r="S14" s="2">
        <f t="shared" si="4"/>
        <v>46053</v>
      </c>
      <c r="T14" s="12">
        <f>IFERROR(S14-_xlfn.MAXIFS(Transactions_T[Date],Transactions_T[SKU],C14,Transactions_T[Date],"&lt;="&amp;S14),"")</f>
        <v>5</v>
      </c>
    </row>
    <row r="15" spans="1:20" x14ac:dyDescent="0.25">
      <c r="A15" s="7">
        <v>46023</v>
      </c>
      <c r="B15" s="3" t="s">
        <v>29</v>
      </c>
      <c r="C15" s="3" t="s">
        <v>83</v>
      </c>
      <c r="D15" t="str">
        <f>INDEX(Products_T[ProductName],MATCH(C15,Products_T[SKU],0))</f>
        <v>Dangote Pasta 500g</v>
      </c>
      <c r="E15" t="str">
        <f>INDEX(Products_T[Category],MATCH(C15,Products_T[SKU],0))</f>
        <v>Packaged Foods</v>
      </c>
      <c r="F15" t="str">
        <f>INDEX(Products_T[SupplierName],MATCH(C15,Products_T[SKU],0))</f>
        <v>Bulk Wholesale Co</v>
      </c>
      <c r="G15" s="3">
        <v>60</v>
      </c>
      <c r="H15" s="3">
        <v>188</v>
      </c>
      <c r="I15" s="3">
        <v>224</v>
      </c>
      <c r="J15" s="3">
        <v>0</v>
      </c>
      <c r="K15" s="3">
        <v>0</v>
      </c>
      <c r="L15">
        <f t="shared" si="0"/>
        <v>24</v>
      </c>
      <c r="M15" s="10">
        <f>L15*INDEX(Products_T[UnitCost],MATCH(C15,Products_T[SKU],0))</f>
        <v>7680</v>
      </c>
      <c r="N15">
        <f>ROUND(INDEX(Products_T[AvgDailyUsage],MATCH(C15,Products_T[SKU],0))*(INDEX(Products_T[AvgLeadTime],MATCH(C15,Products_T[SKU],0))+INDEX(Products_T[LeadTimeRange],MATCH(C15,Products_T[SKU],0)))+INDEX(Products_T[SafetyStock],MATCH(C15,Products_T[SKU],0)),0)</f>
        <v>78</v>
      </c>
      <c r="O15" s="4">
        <f>IFERROR(L15/INDEX(Products_T[AvgDailyUsage],MATCH(C15,Products_T[SKU],0)),0)</f>
        <v>3.5242290748898681</v>
      </c>
      <c r="P15" t="str">
        <f t="shared" si="1"/>
        <v>Critical</v>
      </c>
      <c r="Q15" t="str">
        <f t="shared" si="2"/>
        <v>Yes</v>
      </c>
      <c r="R15">
        <f t="shared" si="3"/>
        <v>1</v>
      </c>
      <c r="S15" s="2">
        <f t="shared" si="4"/>
        <v>46053</v>
      </c>
      <c r="T15" s="12">
        <f>IFERROR(S15-_xlfn.MAXIFS(Transactions_T[Date],Transactions_T[SKU],C15,Transactions_T[Date],"&lt;="&amp;S15),"")</f>
        <v>9</v>
      </c>
    </row>
    <row r="16" spans="1:20" x14ac:dyDescent="0.25">
      <c r="A16" s="7">
        <v>46023</v>
      </c>
      <c r="B16" s="3" t="s">
        <v>29</v>
      </c>
      <c r="C16" s="3" t="s">
        <v>85</v>
      </c>
      <c r="D16" t="str">
        <f>INDEX(Products_T[ProductName],MATCH(C16,Products_T[SKU],0))</f>
        <v>Kings Vegetable Oil 1L</v>
      </c>
      <c r="E16" t="str">
        <f>INDEX(Products_T[Category],MATCH(C16,Products_T[SKU],0))</f>
        <v>Packaged Foods</v>
      </c>
      <c r="F16" t="str">
        <f>INDEX(Products_T[SupplierName],MATCH(C16,Products_T[SKU],0))</f>
        <v>Global Distributors Ltd</v>
      </c>
      <c r="G16" s="3">
        <v>77</v>
      </c>
      <c r="H16" s="3">
        <v>78</v>
      </c>
      <c r="I16" s="3">
        <v>106</v>
      </c>
      <c r="J16" s="3">
        <v>0</v>
      </c>
      <c r="K16" s="3">
        <v>0</v>
      </c>
      <c r="L16">
        <f t="shared" si="0"/>
        <v>49</v>
      </c>
      <c r="M16" s="10">
        <f>L16*INDEX(Products_T[UnitCost],MATCH(C16,Products_T[SKU],0))</f>
        <v>71050</v>
      </c>
      <c r="N16">
        <f>ROUND(INDEX(Products_T[AvgDailyUsage],MATCH(C16,Products_T[SKU],0))*(INDEX(Products_T[AvgLeadTime],MATCH(C16,Products_T[SKU],0))+INDEX(Products_T[LeadTimeRange],MATCH(C16,Products_T[SKU],0)))+INDEX(Products_T[SafetyStock],MATCH(C16,Products_T[SKU],0)),0)</f>
        <v>46</v>
      </c>
      <c r="O16" s="4">
        <f>IFERROR(L16/INDEX(Products_T[AvgDailyUsage],MATCH(C16,Products_T[SKU],0)),0)</f>
        <v>15.755627009646302</v>
      </c>
      <c r="P16" t="str">
        <f t="shared" si="1"/>
        <v>Healthy</v>
      </c>
      <c r="Q16" t="str">
        <f t="shared" si="2"/>
        <v>No</v>
      </c>
      <c r="R16">
        <f t="shared" si="3"/>
        <v>3</v>
      </c>
      <c r="S16" s="2">
        <f t="shared" si="4"/>
        <v>46053</v>
      </c>
      <c r="T16" s="12">
        <f>IFERROR(S16-_xlfn.MAXIFS(Transactions_T[Date],Transactions_T[SKU],C16,Transactions_T[Date],"&lt;="&amp;S16),"")</f>
        <v>16</v>
      </c>
    </row>
    <row r="17" spans="1:20" x14ac:dyDescent="0.25">
      <c r="A17" s="7">
        <v>46023</v>
      </c>
      <c r="B17" s="3" t="s">
        <v>29</v>
      </c>
      <c r="C17" s="3" t="s">
        <v>87</v>
      </c>
      <c r="D17" t="str">
        <f>INDEX(Products_T[ProductName],MATCH(C17,Products_T[SKU],0))</f>
        <v>Titus Sardine Tin</v>
      </c>
      <c r="E17" t="str">
        <f>INDEX(Products_T[Category],MATCH(C17,Products_T[SKU],0))</f>
        <v>Packaged Foods</v>
      </c>
      <c r="F17" t="str">
        <f>INDEX(Products_T[SupplierName],MATCH(C17,Products_T[SKU],0))</f>
        <v>Bulk Wholesale Co</v>
      </c>
      <c r="G17" s="3">
        <v>18</v>
      </c>
      <c r="H17" s="3">
        <v>120</v>
      </c>
      <c r="I17" s="3">
        <v>138</v>
      </c>
      <c r="J17" s="3">
        <v>0</v>
      </c>
      <c r="K17" s="3">
        <v>0</v>
      </c>
      <c r="L17">
        <f t="shared" si="0"/>
        <v>0</v>
      </c>
      <c r="M17" s="10">
        <f>L17*INDEX(Products_T[UnitCost],MATCH(C17,Products_T[SKU],0))</f>
        <v>0</v>
      </c>
      <c r="N17">
        <f>ROUND(INDEX(Products_T[AvgDailyUsage],MATCH(C17,Products_T[SKU],0))*(INDEX(Products_T[AvgLeadTime],MATCH(C17,Products_T[SKU],0))+INDEX(Products_T[LeadTimeRange],MATCH(C17,Products_T[SKU],0)))+INDEX(Products_T[SafetyStock],MATCH(C17,Products_T[SKU],0)),0)</f>
        <v>52</v>
      </c>
      <c r="O17" s="4">
        <f>IFERROR(L17/INDEX(Products_T[AvgDailyUsage],MATCH(C17,Products_T[SKU],0)),0)</f>
        <v>0</v>
      </c>
      <c r="P17" t="str">
        <f t="shared" si="1"/>
        <v>Out of Stock</v>
      </c>
      <c r="Q17" t="str">
        <f t="shared" si="2"/>
        <v>Yes</v>
      </c>
      <c r="R17">
        <f t="shared" si="3"/>
        <v>0</v>
      </c>
      <c r="S17" s="2">
        <f t="shared" si="4"/>
        <v>46053</v>
      </c>
      <c r="T17" s="12">
        <f>IFERROR(S17-_xlfn.MAXIFS(Transactions_T[Date],Transactions_T[SKU],C17,Transactions_T[Date],"&lt;="&amp;S17),"")</f>
        <v>8</v>
      </c>
    </row>
    <row r="18" spans="1:20" x14ac:dyDescent="0.25">
      <c r="A18" s="7">
        <v>46023</v>
      </c>
      <c r="B18" s="3" t="s">
        <v>29</v>
      </c>
      <c r="C18" s="3" t="s">
        <v>89</v>
      </c>
      <c r="D18" t="str">
        <f>INDEX(Products_T[ProductName],MATCH(C18,Products_T[SKU],0))</f>
        <v>Nasco Cornflakes 500g</v>
      </c>
      <c r="E18" t="str">
        <f>INDEX(Products_T[Category],MATCH(C18,Products_T[SKU],0))</f>
        <v>Packaged Foods</v>
      </c>
      <c r="F18" t="str">
        <f>INDEX(Products_T[SupplierName],MATCH(C18,Products_T[SKU],0))</f>
        <v>Quality Imports Ltd</v>
      </c>
      <c r="G18" s="3">
        <v>115</v>
      </c>
      <c r="H18" s="3">
        <v>208</v>
      </c>
      <c r="I18" s="3">
        <v>148</v>
      </c>
      <c r="J18" s="3">
        <v>0</v>
      </c>
      <c r="K18" s="3">
        <v>0</v>
      </c>
      <c r="L18">
        <f t="shared" si="0"/>
        <v>175</v>
      </c>
      <c r="M18" s="10">
        <f>L18*INDEX(Products_T[UnitCost],MATCH(C18,Products_T[SKU],0))</f>
        <v>166250</v>
      </c>
      <c r="N18">
        <f>ROUND(INDEX(Products_T[AvgDailyUsage],MATCH(C18,Products_T[SKU],0))*(INDEX(Products_T[AvgLeadTime],MATCH(C18,Products_T[SKU],0))+INDEX(Products_T[LeadTimeRange],MATCH(C18,Products_T[SKU],0)))+INDEX(Products_T[SafetyStock],MATCH(C18,Products_T[SKU],0)),0)</f>
        <v>85</v>
      </c>
      <c r="O18" s="4">
        <f>IFERROR(L18/INDEX(Products_T[AvgDailyUsage],MATCH(C18,Products_T[SKU],0)),0)</f>
        <v>32.649253731343279</v>
      </c>
      <c r="P18" t="str">
        <f t="shared" si="1"/>
        <v>Overstock</v>
      </c>
      <c r="Q18" t="str">
        <f t="shared" si="2"/>
        <v>No</v>
      </c>
      <c r="R18">
        <f t="shared" si="3"/>
        <v>4</v>
      </c>
      <c r="S18" s="2">
        <f t="shared" si="4"/>
        <v>46053</v>
      </c>
      <c r="T18" s="12">
        <f>IFERROR(S18-_xlfn.MAXIFS(Transactions_T[Date],Transactions_T[SKU],C18,Transactions_T[Date],"&lt;="&amp;S18),"")</f>
        <v>3</v>
      </c>
    </row>
    <row r="19" spans="1:20" x14ac:dyDescent="0.25">
      <c r="A19" s="7">
        <v>46023</v>
      </c>
      <c r="B19" s="3" t="s">
        <v>29</v>
      </c>
      <c r="C19" s="3" t="s">
        <v>91</v>
      </c>
      <c r="D19" t="str">
        <f>INDEX(Products_T[ProductName],MATCH(C19,Products_T[SKU],0))</f>
        <v>Omo Detergent 900g</v>
      </c>
      <c r="E19" t="str">
        <f>INDEX(Products_T[Category],MATCH(C19,Products_T[SKU],0))</f>
        <v>Household</v>
      </c>
      <c r="F19" t="str">
        <f>INDEX(Products_T[SupplierName],MATCH(C19,Products_T[SKU],0))</f>
        <v>Premier Supplies Ltd</v>
      </c>
      <c r="G19" s="3">
        <v>133</v>
      </c>
      <c r="H19" s="3">
        <v>159</v>
      </c>
      <c r="I19" s="3">
        <v>210</v>
      </c>
      <c r="J19" s="3">
        <v>0</v>
      </c>
      <c r="K19" s="3">
        <v>0</v>
      </c>
      <c r="L19">
        <f t="shared" si="0"/>
        <v>82</v>
      </c>
      <c r="M19" s="10">
        <f>L19*INDEX(Products_T[UnitCost],MATCH(C19,Products_T[SKU],0))</f>
        <v>55760</v>
      </c>
      <c r="N19">
        <f>ROUND(INDEX(Products_T[AvgDailyUsage],MATCH(C19,Products_T[SKU],0))*(INDEX(Products_T[AvgLeadTime],MATCH(C19,Products_T[SKU],0))+INDEX(Products_T[LeadTimeRange],MATCH(C19,Products_T[SKU],0)))+INDEX(Products_T[SafetyStock],MATCH(C19,Products_T[SKU],0)),0)</f>
        <v>81</v>
      </c>
      <c r="O19" s="4">
        <f>IFERROR(L19/INDEX(Products_T[AvgDailyUsage],MATCH(C19,Products_T[SKU],0)),0)</f>
        <v>14.13793103448276</v>
      </c>
      <c r="P19" t="str">
        <f t="shared" si="1"/>
        <v>Healthy</v>
      </c>
      <c r="Q19" t="str">
        <f t="shared" si="2"/>
        <v>No</v>
      </c>
      <c r="R19">
        <f t="shared" si="3"/>
        <v>3</v>
      </c>
      <c r="S19" s="2">
        <f t="shared" si="4"/>
        <v>46053</v>
      </c>
      <c r="T19" s="12">
        <f>IFERROR(S19-_xlfn.MAXIFS(Transactions_T[Date],Transactions_T[SKU],C19,Transactions_T[Date],"&lt;="&amp;S19),"")</f>
        <v>9</v>
      </c>
    </row>
    <row r="20" spans="1:20" x14ac:dyDescent="0.25">
      <c r="A20" s="7">
        <v>46023</v>
      </c>
      <c r="B20" s="3" t="s">
        <v>29</v>
      </c>
      <c r="C20" s="3" t="s">
        <v>94</v>
      </c>
      <c r="D20" t="str">
        <f>INDEX(Products_T[ProductName],MATCH(C20,Products_T[SKU],0))</f>
        <v>Harpic Toilet Cleaner</v>
      </c>
      <c r="E20" t="str">
        <f>INDEX(Products_T[Category],MATCH(C20,Products_T[SKU],0))</f>
        <v>Household</v>
      </c>
      <c r="F20" t="str">
        <f>INDEX(Products_T[SupplierName],MATCH(C20,Products_T[SKU],0))</f>
        <v>Bulk Wholesale Co</v>
      </c>
      <c r="G20" s="3">
        <v>90</v>
      </c>
      <c r="H20" s="3">
        <v>122</v>
      </c>
      <c r="I20" s="3">
        <v>194</v>
      </c>
      <c r="J20" s="3">
        <v>0</v>
      </c>
      <c r="K20" s="3">
        <v>0</v>
      </c>
      <c r="L20">
        <f t="shared" si="0"/>
        <v>18</v>
      </c>
      <c r="M20" s="10">
        <f>L20*INDEX(Products_T[UnitCost],MATCH(C20,Products_T[SKU],0))</f>
        <v>9360</v>
      </c>
      <c r="N20">
        <f>ROUND(INDEX(Products_T[AvgDailyUsage],MATCH(C20,Products_T[SKU],0))*(INDEX(Products_T[AvgLeadTime],MATCH(C20,Products_T[SKU],0))+INDEX(Products_T[LeadTimeRange],MATCH(C20,Products_T[SKU],0)))+INDEX(Products_T[SafetyStock],MATCH(C20,Products_T[SKU],0)),0)</f>
        <v>56</v>
      </c>
      <c r="O20" s="4">
        <f>IFERROR(L20/INDEX(Products_T[AvgDailyUsage],MATCH(C20,Products_T[SKU],0)),0)</f>
        <v>3.5294117647058827</v>
      </c>
      <c r="P20" t="str">
        <f t="shared" si="1"/>
        <v>Critical</v>
      </c>
      <c r="Q20" t="str">
        <f t="shared" si="2"/>
        <v>Yes</v>
      </c>
      <c r="R20">
        <f t="shared" si="3"/>
        <v>1</v>
      </c>
      <c r="S20" s="2">
        <f t="shared" si="4"/>
        <v>46053</v>
      </c>
      <c r="T20" s="12">
        <f>IFERROR(S20-_xlfn.MAXIFS(Transactions_T[Date],Transactions_T[SKU],C20,Transactions_T[Date],"&lt;="&amp;S20),"")</f>
        <v>7</v>
      </c>
    </row>
    <row r="21" spans="1:20" x14ac:dyDescent="0.25">
      <c r="A21" s="7">
        <v>46023</v>
      </c>
      <c r="B21" s="3" t="s">
        <v>29</v>
      </c>
      <c r="C21" s="3" t="s">
        <v>96</v>
      </c>
      <c r="D21" t="str">
        <f>INDEX(Products_T[ProductName],MATCH(C21,Products_T[SKU],0))</f>
        <v>Hypo Bleach 1L</v>
      </c>
      <c r="E21" t="str">
        <f>INDEX(Products_T[Category],MATCH(C21,Products_T[SKU],0))</f>
        <v>Household</v>
      </c>
      <c r="F21" t="str">
        <f>INDEX(Products_T[SupplierName],MATCH(C21,Products_T[SKU],0))</f>
        <v>Bulk Wholesale Co</v>
      </c>
      <c r="G21" s="3">
        <v>49</v>
      </c>
      <c r="H21" s="3">
        <v>202</v>
      </c>
      <c r="I21" s="3">
        <v>132</v>
      </c>
      <c r="J21" s="3">
        <v>0</v>
      </c>
      <c r="K21" s="3">
        <v>0</v>
      </c>
      <c r="L21">
        <f t="shared" si="0"/>
        <v>119</v>
      </c>
      <c r="M21" s="10">
        <f>L21*INDEX(Products_T[UnitCost],MATCH(C21,Products_T[SKU],0))</f>
        <v>40460</v>
      </c>
      <c r="N21">
        <f>ROUND(INDEX(Products_T[AvgDailyUsage],MATCH(C21,Products_T[SKU],0))*(INDEX(Products_T[AvgLeadTime],MATCH(C21,Products_T[SKU],0))+INDEX(Products_T[LeadTimeRange],MATCH(C21,Products_T[SKU],0)))+INDEX(Products_T[SafetyStock],MATCH(C21,Products_T[SKU],0)),0)</f>
        <v>70</v>
      </c>
      <c r="O21" s="4">
        <f>IFERROR(L21/INDEX(Products_T[AvgDailyUsage],MATCH(C21,Products_T[SKU],0)),0)</f>
        <v>20.87719298245614</v>
      </c>
      <c r="P21" t="str">
        <f t="shared" si="1"/>
        <v>Healthy</v>
      </c>
      <c r="Q21" t="str">
        <f t="shared" si="2"/>
        <v>No</v>
      </c>
      <c r="R21">
        <f t="shared" si="3"/>
        <v>3</v>
      </c>
      <c r="S21" s="2">
        <f t="shared" si="4"/>
        <v>46053</v>
      </c>
      <c r="T21" s="12">
        <f>IFERROR(S21-_xlfn.MAXIFS(Transactions_T[Date],Transactions_T[SKU],C21,Transactions_T[Date],"&lt;="&amp;S21),"")</f>
        <v>12</v>
      </c>
    </row>
    <row r="22" spans="1:20" x14ac:dyDescent="0.25">
      <c r="A22" s="7">
        <v>46023</v>
      </c>
      <c r="B22" s="3" t="s">
        <v>29</v>
      </c>
      <c r="C22" s="3" t="s">
        <v>98</v>
      </c>
      <c r="D22" t="str">
        <f>INDEX(Products_T[ProductName],MATCH(C22,Products_T[SKU],0))</f>
        <v>Sunlight Dishwash Liquid</v>
      </c>
      <c r="E22" t="str">
        <f>INDEX(Products_T[Category],MATCH(C22,Products_T[SKU],0))</f>
        <v>Household</v>
      </c>
      <c r="F22" t="str">
        <f>INDEX(Products_T[SupplierName],MATCH(C22,Products_T[SKU],0))</f>
        <v>Premier Supplies Ltd</v>
      </c>
      <c r="G22" s="3">
        <v>105</v>
      </c>
      <c r="H22" s="3">
        <v>127</v>
      </c>
      <c r="I22" s="3">
        <v>100</v>
      </c>
      <c r="J22" s="3">
        <v>0</v>
      </c>
      <c r="K22" s="3">
        <v>0</v>
      </c>
      <c r="L22">
        <f t="shared" si="0"/>
        <v>132</v>
      </c>
      <c r="M22" s="10">
        <f>L22*INDEX(Products_T[UnitCost],MATCH(C22,Products_T[SKU],0))</f>
        <v>54120</v>
      </c>
      <c r="N22">
        <f>ROUND(INDEX(Products_T[AvgDailyUsage],MATCH(C22,Products_T[SKU],0))*(INDEX(Products_T[AvgLeadTime],MATCH(C22,Products_T[SKU],0))+INDEX(Products_T[LeadTimeRange],MATCH(C22,Products_T[SKU],0)))+INDEX(Products_T[SafetyStock],MATCH(C22,Products_T[SKU],0)),0)</f>
        <v>61</v>
      </c>
      <c r="O22" s="4">
        <f>IFERROR(L22/INDEX(Products_T[AvgDailyUsage],MATCH(C22,Products_T[SKU],0)),0)</f>
        <v>33.587786259541986</v>
      </c>
      <c r="P22" t="str">
        <f t="shared" si="1"/>
        <v>Overstock</v>
      </c>
      <c r="Q22" t="str">
        <f t="shared" si="2"/>
        <v>No</v>
      </c>
      <c r="R22">
        <f t="shared" si="3"/>
        <v>4</v>
      </c>
      <c r="S22" s="2">
        <f t="shared" si="4"/>
        <v>46053</v>
      </c>
      <c r="T22" s="12">
        <f>IFERROR(S22-_xlfn.MAXIFS(Transactions_T[Date],Transactions_T[SKU],C22,Transactions_T[Date],"&lt;="&amp;S22),"")</f>
        <v>15</v>
      </c>
    </row>
    <row r="23" spans="1:20" x14ac:dyDescent="0.25">
      <c r="A23" s="7">
        <v>46023</v>
      </c>
      <c r="B23" s="3" t="s">
        <v>29</v>
      </c>
      <c r="C23" s="3" t="s">
        <v>100</v>
      </c>
      <c r="D23" t="str">
        <f>INDEX(Products_T[ProductName],MATCH(C23,Products_T[SKU],0))</f>
        <v>Ambipur Air Freshener</v>
      </c>
      <c r="E23" t="str">
        <f>INDEX(Products_T[Category],MATCH(C23,Products_T[SKU],0))</f>
        <v>Household</v>
      </c>
      <c r="F23" t="str">
        <f>INDEX(Products_T[SupplierName],MATCH(C23,Products_T[SKU],0))</f>
        <v>Local Sourcing Ltd</v>
      </c>
      <c r="G23" s="3">
        <v>5</v>
      </c>
      <c r="H23" s="3">
        <v>138</v>
      </c>
      <c r="I23" s="3">
        <v>143</v>
      </c>
      <c r="J23" s="3">
        <v>0</v>
      </c>
      <c r="K23" s="3">
        <v>0</v>
      </c>
      <c r="L23">
        <f t="shared" si="0"/>
        <v>0</v>
      </c>
      <c r="M23" s="10">
        <f>L23*INDEX(Products_T[UnitCost],MATCH(C23,Products_T[SKU],0))</f>
        <v>0</v>
      </c>
      <c r="N23">
        <f>ROUND(INDEX(Products_T[AvgDailyUsage],MATCH(C23,Products_T[SKU],0))*(INDEX(Products_T[AvgLeadTime],MATCH(C23,Products_T[SKU],0))+INDEX(Products_T[LeadTimeRange],MATCH(C23,Products_T[SKU],0)))+INDEX(Products_T[SafetyStock],MATCH(C23,Products_T[SKU],0)),0)</f>
        <v>49</v>
      </c>
      <c r="O23" s="4">
        <f>IFERROR(L23/INDEX(Products_T[AvgDailyUsage],MATCH(C23,Products_T[SKU],0)),0)</f>
        <v>0</v>
      </c>
      <c r="P23" t="str">
        <f t="shared" si="1"/>
        <v>Out of Stock</v>
      </c>
      <c r="Q23" t="str">
        <f t="shared" si="2"/>
        <v>Yes</v>
      </c>
      <c r="R23">
        <f t="shared" si="3"/>
        <v>0</v>
      </c>
      <c r="S23" s="2">
        <f t="shared" si="4"/>
        <v>46053</v>
      </c>
      <c r="T23" s="12">
        <f>IFERROR(S23-_xlfn.MAXIFS(Transactions_T[Date],Transactions_T[SKU],C23,Transactions_T[Date],"&lt;="&amp;S23),"")</f>
        <v>16</v>
      </c>
    </row>
    <row r="24" spans="1:20" x14ac:dyDescent="0.25">
      <c r="A24" s="7">
        <v>46023</v>
      </c>
      <c r="B24" s="3" t="s">
        <v>29</v>
      </c>
      <c r="C24" s="3" t="s">
        <v>102</v>
      </c>
      <c r="D24" t="str">
        <f>INDEX(Products_T[ProductName],MATCH(C24,Products_T[SKU],0))</f>
        <v>Rubbermaid Storage Box</v>
      </c>
      <c r="E24" t="str">
        <f>INDEX(Products_T[Category],MATCH(C24,Products_T[SKU],0))</f>
        <v>Household</v>
      </c>
      <c r="F24" t="str">
        <f>INDEX(Products_T[SupplierName],MATCH(C24,Products_T[SKU],0))</f>
        <v>Quality Imports Ltd</v>
      </c>
      <c r="G24" s="3">
        <v>227</v>
      </c>
      <c r="H24" s="3">
        <v>212</v>
      </c>
      <c r="I24" s="3">
        <v>158</v>
      </c>
      <c r="J24" s="3">
        <v>0</v>
      </c>
      <c r="K24" s="3">
        <v>0</v>
      </c>
      <c r="L24">
        <f t="shared" si="0"/>
        <v>281</v>
      </c>
      <c r="M24" s="10">
        <f>L24*INDEX(Products_T[UnitCost],MATCH(C24,Products_T[SKU],0))</f>
        <v>786800</v>
      </c>
      <c r="N24">
        <f>ROUND(INDEX(Products_T[AvgDailyUsage],MATCH(C24,Products_T[SKU],0))*(INDEX(Products_T[AvgLeadTime],MATCH(C24,Products_T[SKU],0))+INDEX(Products_T[LeadTimeRange],MATCH(C24,Products_T[SKU],0)))+INDEX(Products_T[SafetyStock],MATCH(C24,Products_T[SKU],0)),0)</f>
        <v>82</v>
      </c>
      <c r="O24" s="4">
        <f>IFERROR(L24/INDEX(Products_T[AvgDailyUsage],MATCH(C24,Products_T[SKU],0)),0)</f>
        <v>47.226890756302517</v>
      </c>
      <c r="P24" t="str">
        <f t="shared" si="1"/>
        <v>Overstock</v>
      </c>
      <c r="Q24" t="str">
        <f t="shared" si="2"/>
        <v>No</v>
      </c>
      <c r="R24">
        <f t="shared" si="3"/>
        <v>4</v>
      </c>
      <c r="S24" s="2">
        <f t="shared" si="4"/>
        <v>46053</v>
      </c>
      <c r="T24" s="12">
        <f>IFERROR(S24-_xlfn.MAXIFS(Transactions_T[Date],Transactions_T[SKU],C24,Transactions_T[Date],"&lt;="&amp;S24),"")</f>
        <v>14</v>
      </c>
    </row>
    <row r="25" spans="1:20" x14ac:dyDescent="0.25">
      <c r="A25" s="7">
        <v>46023</v>
      </c>
      <c r="B25" s="3" t="s">
        <v>29</v>
      </c>
      <c r="C25" s="3" t="s">
        <v>104</v>
      </c>
      <c r="D25" t="str">
        <f>INDEX(Products_T[ProductName],MATCH(C25,Products_T[SKU],0))</f>
        <v>USB-C Charging Cable</v>
      </c>
      <c r="E25" t="str">
        <f>INDEX(Products_T[Category],MATCH(C25,Products_T[SKU],0))</f>
        <v>Electronics Accessories</v>
      </c>
      <c r="F25" t="str">
        <f>INDEX(Products_T[SupplierName],MATCH(C25,Products_T[SKU],0))</f>
        <v>Quality Imports Ltd</v>
      </c>
      <c r="G25" s="3">
        <v>52</v>
      </c>
      <c r="H25" s="3">
        <v>63</v>
      </c>
      <c r="I25" s="3">
        <v>90</v>
      </c>
      <c r="J25" s="3">
        <v>0</v>
      </c>
      <c r="K25" s="3">
        <v>0</v>
      </c>
      <c r="L25">
        <f t="shared" si="0"/>
        <v>25</v>
      </c>
      <c r="M25" s="10">
        <f>L25*INDEX(Products_T[UnitCost],MATCH(C25,Products_T[SKU],0))</f>
        <v>45000</v>
      </c>
      <c r="N25">
        <f>ROUND(INDEX(Products_T[AvgDailyUsage],MATCH(C25,Products_T[SKU],0))*(INDEX(Products_T[AvgLeadTime],MATCH(C25,Products_T[SKU],0))+INDEX(Products_T[LeadTimeRange],MATCH(C25,Products_T[SKU],0)))+INDEX(Products_T[SafetyStock],MATCH(C25,Products_T[SKU],0)),0)</f>
        <v>45</v>
      </c>
      <c r="O25" s="4">
        <f>IFERROR(L25/INDEX(Products_T[AvgDailyUsage],MATCH(C25,Products_T[SKU],0)),0)</f>
        <v>10.04016064257028</v>
      </c>
      <c r="P25" t="str">
        <f t="shared" si="1"/>
        <v>Reorder</v>
      </c>
      <c r="Q25" t="str">
        <f t="shared" si="2"/>
        <v>Yes</v>
      </c>
      <c r="R25">
        <f t="shared" si="3"/>
        <v>2</v>
      </c>
      <c r="S25" s="2">
        <f t="shared" si="4"/>
        <v>46053</v>
      </c>
      <c r="T25" s="12">
        <f>IFERROR(S25-_xlfn.MAXIFS(Transactions_T[Date],Transactions_T[SKU],C25,Transactions_T[Date],"&lt;="&amp;S25),"")</f>
        <v>10</v>
      </c>
    </row>
    <row r="26" spans="1:20" x14ac:dyDescent="0.25">
      <c r="A26" s="7">
        <v>46023</v>
      </c>
      <c r="B26" s="3" t="s">
        <v>29</v>
      </c>
      <c r="C26" s="3" t="s">
        <v>107</v>
      </c>
      <c r="D26" t="str">
        <f>INDEX(Products_T[ProductName],MATCH(C26,Products_T[SKU],0))</f>
        <v>Bluetooth Earbuds</v>
      </c>
      <c r="E26" t="str">
        <f>INDEX(Products_T[Category],MATCH(C26,Products_T[SKU],0))</f>
        <v>Electronics Accessories</v>
      </c>
      <c r="F26" t="str">
        <f>INDEX(Products_T[SupplierName],MATCH(C26,Products_T[SKU],0))</f>
        <v>Quality Imports Ltd</v>
      </c>
      <c r="G26" s="3">
        <v>15</v>
      </c>
      <c r="H26" s="3">
        <v>87</v>
      </c>
      <c r="I26" s="3">
        <v>56</v>
      </c>
      <c r="J26" s="3">
        <v>0</v>
      </c>
      <c r="K26" s="3">
        <v>0</v>
      </c>
      <c r="L26">
        <f t="shared" si="0"/>
        <v>46</v>
      </c>
      <c r="M26" s="10">
        <f>L26*INDEX(Products_T[UnitCost],MATCH(C26,Products_T[SKU],0))</f>
        <v>391000</v>
      </c>
      <c r="N26">
        <f>ROUND(INDEX(Products_T[AvgDailyUsage],MATCH(C26,Products_T[SKU],0))*(INDEX(Products_T[AvgLeadTime],MATCH(C26,Products_T[SKU],0))+INDEX(Products_T[LeadTimeRange],MATCH(C26,Products_T[SKU],0)))+INDEX(Products_T[SafetyStock],MATCH(C26,Products_T[SKU],0)),0)</f>
        <v>37</v>
      </c>
      <c r="O26" s="4">
        <f>IFERROR(L26/INDEX(Products_T[AvgDailyUsage],MATCH(C26,Products_T[SKU],0)),0)</f>
        <v>20.353982300884958</v>
      </c>
      <c r="P26" t="str">
        <f t="shared" si="1"/>
        <v>Healthy</v>
      </c>
      <c r="Q26" t="str">
        <f t="shared" si="2"/>
        <v>No</v>
      </c>
      <c r="R26">
        <f t="shared" si="3"/>
        <v>3</v>
      </c>
      <c r="S26" s="2">
        <f t="shared" si="4"/>
        <v>46053</v>
      </c>
      <c r="T26" s="12">
        <f>IFERROR(S26-_xlfn.MAXIFS(Transactions_T[Date],Transactions_T[SKU],C26,Transactions_T[Date],"&lt;="&amp;S26),"")</f>
        <v>9</v>
      </c>
    </row>
    <row r="27" spans="1:20" x14ac:dyDescent="0.25">
      <c r="A27" s="7">
        <v>46023</v>
      </c>
      <c r="B27" s="3" t="s">
        <v>29</v>
      </c>
      <c r="C27" s="3" t="s">
        <v>109</v>
      </c>
      <c r="D27" t="str">
        <f>INDEX(Products_T[ProductName],MATCH(C27,Products_T[SKU],0))</f>
        <v>HDMI Cable 1.5m</v>
      </c>
      <c r="E27" t="str">
        <f>INDEX(Products_T[Category],MATCH(C27,Products_T[SKU],0))</f>
        <v>Electronics Accessories</v>
      </c>
      <c r="F27" t="str">
        <f>INDEX(Products_T[SupplierName],MATCH(C27,Products_T[SKU],0))</f>
        <v>Quality Imports Ltd</v>
      </c>
      <c r="G27" s="3">
        <v>38</v>
      </c>
      <c r="H27" s="3">
        <v>95</v>
      </c>
      <c r="I27" s="3">
        <v>60</v>
      </c>
      <c r="J27" s="3">
        <v>0</v>
      </c>
      <c r="K27" s="3">
        <v>0</v>
      </c>
      <c r="L27">
        <f t="shared" si="0"/>
        <v>73</v>
      </c>
      <c r="M27" s="10">
        <f>L27*INDEX(Products_T[UnitCost],MATCH(C27,Products_T[SKU],0))</f>
        <v>160600</v>
      </c>
      <c r="N27">
        <f>ROUND(INDEX(Products_T[AvgDailyUsage],MATCH(C27,Products_T[SKU],0))*(INDEX(Products_T[AvgLeadTime],MATCH(C27,Products_T[SKU],0))+INDEX(Products_T[LeadTimeRange],MATCH(C27,Products_T[SKU],0)))+INDEX(Products_T[SafetyStock],MATCH(C27,Products_T[SKU],0)),0)</f>
        <v>42</v>
      </c>
      <c r="O27" s="4">
        <f>IFERROR(L27/INDEX(Products_T[AvgDailyUsage],MATCH(C27,Products_T[SKU],0)),0)</f>
        <v>27.651515151515149</v>
      </c>
      <c r="P27" t="str">
        <f t="shared" si="1"/>
        <v>Healthy</v>
      </c>
      <c r="Q27" t="str">
        <f t="shared" si="2"/>
        <v>No</v>
      </c>
      <c r="R27">
        <f t="shared" si="3"/>
        <v>3</v>
      </c>
      <c r="S27" s="2">
        <f t="shared" si="4"/>
        <v>46053</v>
      </c>
      <c r="T27" s="12">
        <f>IFERROR(S27-_xlfn.MAXIFS(Transactions_T[Date],Transactions_T[SKU],C27,Transactions_T[Date],"&lt;="&amp;S27),"")</f>
        <v>16</v>
      </c>
    </row>
    <row r="28" spans="1:20" x14ac:dyDescent="0.25">
      <c r="A28" s="7">
        <v>46023</v>
      </c>
      <c r="B28" s="3" t="s">
        <v>29</v>
      </c>
      <c r="C28" s="3" t="s">
        <v>111</v>
      </c>
      <c r="D28" t="str">
        <f>INDEX(Products_T[ProductName],MATCH(C28,Products_T[SKU],0))</f>
        <v>Power Bank 10000mAh</v>
      </c>
      <c r="E28" t="str">
        <f>INDEX(Products_T[Category],MATCH(C28,Products_T[SKU],0))</f>
        <v>Electronics Accessories</v>
      </c>
      <c r="F28" t="str">
        <f>INDEX(Products_T[SupplierName],MATCH(C28,Products_T[SKU],0))</f>
        <v>Quality Imports Ltd</v>
      </c>
      <c r="G28" s="3">
        <v>47</v>
      </c>
      <c r="H28" s="3">
        <v>83</v>
      </c>
      <c r="I28" s="3">
        <v>51</v>
      </c>
      <c r="J28" s="3">
        <v>0</v>
      </c>
      <c r="K28" s="3">
        <v>0</v>
      </c>
      <c r="L28">
        <f t="shared" si="0"/>
        <v>79</v>
      </c>
      <c r="M28" s="10">
        <f>L28*INDEX(Products_T[UnitCost],MATCH(C28,Products_T[SKU],0))</f>
        <v>489800</v>
      </c>
      <c r="N28">
        <f>ROUND(INDEX(Products_T[AvgDailyUsage],MATCH(C28,Products_T[SKU],0))*(INDEX(Products_T[AvgLeadTime],MATCH(C28,Products_T[SKU],0))+INDEX(Products_T[LeadTimeRange],MATCH(C28,Products_T[SKU],0)))+INDEX(Products_T[SafetyStock],MATCH(C28,Products_T[SKU],0)),0)</f>
        <v>37</v>
      </c>
      <c r="O28" s="4">
        <f>IFERROR(L28/INDEX(Products_T[AvgDailyUsage],MATCH(C28,Products_T[SKU],0)),0)</f>
        <v>35.111111111111114</v>
      </c>
      <c r="P28" t="str">
        <f t="shared" si="1"/>
        <v>Overstock</v>
      </c>
      <c r="Q28" t="str">
        <f t="shared" si="2"/>
        <v>No</v>
      </c>
      <c r="R28">
        <f t="shared" si="3"/>
        <v>4</v>
      </c>
      <c r="S28" s="2">
        <f t="shared" si="4"/>
        <v>46053</v>
      </c>
      <c r="T28" s="12">
        <f>IFERROR(S28-_xlfn.MAXIFS(Transactions_T[Date],Transactions_T[SKU],C28,Transactions_T[Date],"&lt;="&amp;S28),"")</f>
        <v>10</v>
      </c>
    </row>
    <row r="29" spans="1:20" x14ac:dyDescent="0.25">
      <c r="A29" s="7">
        <v>46023</v>
      </c>
      <c r="B29" s="3" t="s">
        <v>29</v>
      </c>
      <c r="C29" s="3" t="s">
        <v>113</v>
      </c>
      <c r="D29" t="str">
        <f>INDEX(Products_T[ProductName],MATCH(C29,Products_T[SKU],0))</f>
        <v>Phone Screen Protector</v>
      </c>
      <c r="E29" t="str">
        <f>INDEX(Products_T[Category],MATCH(C29,Products_T[SKU],0))</f>
        <v>Electronics Accessories</v>
      </c>
      <c r="F29" t="str">
        <f>INDEX(Products_T[SupplierName],MATCH(C29,Products_T[SKU],0))</f>
        <v>Quality Imports Ltd</v>
      </c>
      <c r="G29" s="3">
        <v>62</v>
      </c>
      <c r="H29" s="3">
        <v>60</v>
      </c>
      <c r="I29" s="3">
        <v>48</v>
      </c>
      <c r="J29" s="3">
        <v>0</v>
      </c>
      <c r="K29" s="3">
        <v>0</v>
      </c>
      <c r="L29">
        <f t="shared" si="0"/>
        <v>74</v>
      </c>
      <c r="M29" s="10">
        <f>L29*INDEX(Products_T[UnitCost],MATCH(C29,Products_T[SKU],0))</f>
        <v>66600</v>
      </c>
      <c r="N29">
        <f>ROUND(INDEX(Products_T[AvgDailyUsage],MATCH(C29,Products_T[SKU],0))*(INDEX(Products_T[AvgLeadTime],MATCH(C29,Products_T[SKU],0))+INDEX(Products_T[LeadTimeRange],MATCH(C29,Products_T[SKU],0)))+INDEX(Products_T[SafetyStock],MATCH(C29,Products_T[SKU],0)),0)</f>
        <v>42</v>
      </c>
      <c r="O29" s="4">
        <f>IFERROR(L29/INDEX(Products_T[AvgDailyUsage],MATCH(C29,Products_T[SKU],0)),0)</f>
        <v>41.573033707865164</v>
      </c>
      <c r="P29" t="str">
        <f t="shared" si="1"/>
        <v>Healthy</v>
      </c>
      <c r="Q29" t="str">
        <f t="shared" si="2"/>
        <v>No</v>
      </c>
      <c r="R29">
        <f t="shared" si="3"/>
        <v>3</v>
      </c>
      <c r="S29" s="2">
        <f t="shared" si="4"/>
        <v>46053</v>
      </c>
      <c r="T29" s="12">
        <f>IFERROR(S29-_xlfn.MAXIFS(Transactions_T[Date],Transactions_T[SKU],C29,Transactions_T[Date],"&lt;="&amp;S29),"")</f>
        <v>5</v>
      </c>
    </row>
    <row r="30" spans="1:20" x14ac:dyDescent="0.25">
      <c r="A30" s="7">
        <v>46023</v>
      </c>
      <c r="B30" s="3" t="s">
        <v>29</v>
      </c>
      <c r="C30" s="3" t="s">
        <v>115</v>
      </c>
      <c r="D30" t="str">
        <f>INDEX(Products_T[ProductName],MATCH(C30,Products_T[SKU],0))</f>
        <v>Wireless Mouse</v>
      </c>
      <c r="E30" t="str">
        <f>INDEX(Products_T[Category],MATCH(C30,Products_T[SKU],0))</f>
        <v>Electronics Accessories</v>
      </c>
      <c r="F30" t="str">
        <f>INDEX(Products_T[SupplierName],MATCH(C30,Products_T[SKU],0))</f>
        <v>Quality Imports Ltd</v>
      </c>
      <c r="G30" s="3">
        <v>5</v>
      </c>
      <c r="H30" s="3">
        <v>76</v>
      </c>
      <c r="I30" s="3">
        <v>81</v>
      </c>
      <c r="J30" s="3">
        <v>0</v>
      </c>
      <c r="K30" s="3">
        <v>0</v>
      </c>
      <c r="L30">
        <f t="shared" si="0"/>
        <v>0</v>
      </c>
      <c r="M30" s="10">
        <f>L30*INDEX(Products_T[UnitCost],MATCH(C30,Products_T[SKU],0))</f>
        <v>0</v>
      </c>
      <c r="N30">
        <f>ROUND(INDEX(Products_T[AvgDailyUsage],MATCH(C30,Products_T[SKU],0))*(INDEX(Products_T[AvgLeadTime],MATCH(C30,Products_T[SKU],0))+INDEX(Products_T[LeadTimeRange],MATCH(C30,Products_T[SKU],0)))+INDEX(Products_T[SafetyStock],MATCH(C30,Products_T[SKU],0)),0)</f>
        <v>47</v>
      </c>
      <c r="O30" s="4">
        <f>IFERROR(L30/INDEX(Products_T[AvgDailyUsage],MATCH(C30,Products_T[SKU],0)),0)</f>
        <v>0</v>
      </c>
      <c r="P30" t="str">
        <f t="shared" si="1"/>
        <v>Out of Stock</v>
      </c>
      <c r="Q30" t="str">
        <f t="shared" si="2"/>
        <v>Yes</v>
      </c>
      <c r="R30">
        <f t="shared" si="3"/>
        <v>0</v>
      </c>
      <c r="S30" s="2">
        <f t="shared" si="4"/>
        <v>46053</v>
      </c>
      <c r="T30" s="12">
        <f>IFERROR(S30-_xlfn.MAXIFS(Transactions_T[Date],Transactions_T[SKU],C30,Transactions_T[Date],"&lt;="&amp;S30),"")</f>
        <v>8</v>
      </c>
    </row>
    <row r="31" spans="1:20" x14ac:dyDescent="0.25">
      <c r="A31" s="7">
        <v>46023</v>
      </c>
      <c r="B31" s="3" t="s">
        <v>29</v>
      </c>
      <c r="C31" s="3" t="s">
        <v>117</v>
      </c>
      <c r="D31" t="str">
        <f>INDEX(Products_T[ProductName],MATCH(C31,Products_T[SKU],0))</f>
        <v>Extension Socket 4-way</v>
      </c>
      <c r="E31" t="str">
        <f>INDEX(Products_T[Category],MATCH(C31,Products_T[SKU],0))</f>
        <v>Electronics Accessories</v>
      </c>
      <c r="F31" t="str">
        <f>INDEX(Products_T[SupplierName],MATCH(C31,Products_T[SKU],0))</f>
        <v>Quality Imports Ltd</v>
      </c>
      <c r="G31" s="3">
        <v>47</v>
      </c>
      <c r="H31" s="3">
        <v>60</v>
      </c>
      <c r="I31" s="3">
        <v>46</v>
      </c>
      <c r="J31" s="3">
        <v>0</v>
      </c>
      <c r="K31" s="3">
        <v>0</v>
      </c>
      <c r="L31">
        <f t="shared" si="0"/>
        <v>61</v>
      </c>
      <c r="M31" s="10">
        <f>L31*INDEX(Products_T[UnitCost],MATCH(C31,Products_T[SKU],0))</f>
        <v>158600</v>
      </c>
      <c r="N31">
        <f>ROUND(INDEX(Products_T[AvgDailyUsage],MATCH(C31,Products_T[SKU],0))*(INDEX(Products_T[AvgLeadTime],MATCH(C31,Products_T[SKU],0))+INDEX(Products_T[LeadTimeRange],MATCH(C31,Products_T[SKU],0)))+INDEX(Products_T[SafetyStock],MATCH(C31,Products_T[SKU],0)),0)</f>
        <v>31</v>
      </c>
      <c r="O31" s="4">
        <f>IFERROR(L31/INDEX(Products_T[AvgDailyUsage],MATCH(C31,Products_T[SKU],0)),0)</f>
        <v>35.882352941176471</v>
      </c>
      <c r="P31" t="str">
        <f t="shared" si="1"/>
        <v>Healthy</v>
      </c>
      <c r="Q31" t="str">
        <f t="shared" si="2"/>
        <v>No</v>
      </c>
      <c r="R31">
        <f t="shared" si="3"/>
        <v>3</v>
      </c>
      <c r="S31" s="2">
        <f t="shared" si="4"/>
        <v>46053</v>
      </c>
      <c r="T31" s="12">
        <f>IFERROR(S31-_xlfn.MAXIFS(Transactions_T[Date],Transactions_T[SKU],C31,Transactions_T[Date],"&lt;="&amp;S31),"")</f>
        <v>16</v>
      </c>
    </row>
    <row r="32" spans="1:20" x14ac:dyDescent="0.25">
      <c r="A32" s="7">
        <v>46054</v>
      </c>
      <c r="B32" s="3" t="s">
        <v>30</v>
      </c>
      <c r="C32" s="3" t="s">
        <v>54</v>
      </c>
      <c r="D32" t="str">
        <f>INDEX(Products_T[ProductName],MATCH(C32,Products_T[SKU],0))</f>
        <v>Coca-Cola 1.5L</v>
      </c>
      <c r="E32" t="str">
        <f>INDEX(Products_T[Category],MATCH(C32,Products_T[SKU],0))</f>
        <v>Beverages</v>
      </c>
      <c r="F32" t="str">
        <f>INDEX(Products_T[SupplierName],MATCH(C32,Products_T[SKU],0))</f>
        <v>Global Distributors Ltd</v>
      </c>
      <c r="G32">
        <f t="shared" ref="G32:G63" si="5">L2</f>
        <v>183</v>
      </c>
      <c r="H32" s="3">
        <v>260</v>
      </c>
      <c r="I32" s="3">
        <v>165</v>
      </c>
      <c r="J32" s="3">
        <v>0</v>
      </c>
      <c r="K32" s="3">
        <v>0</v>
      </c>
      <c r="L32">
        <f t="shared" si="0"/>
        <v>278</v>
      </c>
      <c r="M32" s="10">
        <f>L32*INDEX(Products_T[UnitCost],MATCH(C32,Products_T[SKU],0))</f>
        <v>69500</v>
      </c>
      <c r="N32">
        <f>ROUND(INDEX(Products_T[AvgDailyUsage],MATCH(C32,Products_T[SKU],0))*(INDEX(Products_T[AvgLeadTime],MATCH(C32,Products_T[SKU],0))+INDEX(Products_T[LeadTimeRange],MATCH(C32,Products_T[SKU],0)))+INDEX(Products_T[SafetyStock],MATCH(C32,Products_T[SKU],0)),0)</f>
        <v>81</v>
      </c>
      <c r="O32" s="4">
        <f>IFERROR(L32/INDEX(Products_T[AvgDailyUsage],MATCH(C32,Products_T[SKU],0)),0)</f>
        <v>38.239339752407155</v>
      </c>
      <c r="P32" t="str">
        <f t="shared" si="1"/>
        <v>Overstock</v>
      </c>
      <c r="Q32" t="str">
        <f t="shared" si="2"/>
        <v>No</v>
      </c>
      <c r="R32">
        <f t="shared" si="3"/>
        <v>4</v>
      </c>
      <c r="S32" s="2">
        <f t="shared" si="4"/>
        <v>46081</v>
      </c>
      <c r="T32" s="12">
        <f>IFERROR(S32-_xlfn.MAXIFS(Transactions_T[Date],Transactions_T[SKU],C32,Transactions_T[Date],"&lt;="&amp;S32),"")</f>
        <v>9</v>
      </c>
    </row>
    <row r="33" spans="1:20" x14ac:dyDescent="0.25">
      <c r="A33" s="7">
        <v>46054</v>
      </c>
      <c r="B33" s="3" t="s">
        <v>30</v>
      </c>
      <c r="C33" s="3" t="s">
        <v>57</v>
      </c>
      <c r="D33" t="str">
        <f>INDEX(Products_T[ProductName],MATCH(C33,Products_T[SKU],0))</f>
        <v>Sprite 1.5L</v>
      </c>
      <c r="E33" t="str">
        <f>INDEX(Products_T[Category],MATCH(C33,Products_T[SKU],0))</f>
        <v>Beverages</v>
      </c>
      <c r="F33" t="str">
        <f>INDEX(Products_T[SupplierName],MATCH(C33,Products_T[SKU],0))</f>
        <v>Global Distributors Ltd</v>
      </c>
      <c r="G33">
        <f t="shared" si="5"/>
        <v>40</v>
      </c>
      <c r="H33" s="3">
        <v>351</v>
      </c>
      <c r="I33" s="3">
        <v>254</v>
      </c>
      <c r="J33" s="3">
        <v>0</v>
      </c>
      <c r="K33" s="3">
        <v>0</v>
      </c>
      <c r="L33">
        <f t="shared" si="0"/>
        <v>137</v>
      </c>
      <c r="M33" s="10">
        <f>L33*INDEX(Products_T[UnitCost],MATCH(C33,Products_T[SKU],0))</f>
        <v>33565</v>
      </c>
      <c r="N33">
        <f>ROUND(INDEX(Products_T[AvgDailyUsage],MATCH(C33,Products_T[SKU],0))*(INDEX(Products_T[AvgLeadTime],MATCH(C33,Products_T[SKU],0))+INDEX(Products_T[LeadTimeRange],MATCH(C33,Products_T[SKU],0)))+INDEX(Products_T[SafetyStock],MATCH(C33,Products_T[SKU],0)),0)</f>
        <v>109</v>
      </c>
      <c r="O33" s="4">
        <f>IFERROR(L33/INDEX(Products_T[AvgDailyUsage],MATCH(C33,Products_T[SKU],0)),0)</f>
        <v>12.791783380018673</v>
      </c>
      <c r="P33" t="str">
        <f t="shared" si="1"/>
        <v>Healthy</v>
      </c>
      <c r="Q33" t="str">
        <f t="shared" si="2"/>
        <v>No</v>
      </c>
      <c r="R33">
        <f t="shared" si="3"/>
        <v>3</v>
      </c>
      <c r="S33" s="2">
        <f t="shared" si="4"/>
        <v>46081</v>
      </c>
      <c r="T33" s="12">
        <f>IFERROR(S33-_xlfn.MAXIFS(Transactions_T[Date],Transactions_T[SKU],C33,Transactions_T[Date],"&lt;="&amp;S33),"")</f>
        <v>4</v>
      </c>
    </row>
    <row r="34" spans="1:20" x14ac:dyDescent="0.25">
      <c r="A34" s="7">
        <v>46054</v>
      </c>
      <c r="B34" s="3" t="s">
        <v>30</v>
      </c>
      <c r="C34" s="3" t="s">
        <v>59</v>
      </c>
      <c r="D34" t="str">
        <f>INDEX(Products_T[ProductName],MATCH(C34,Products_T[SKU],0))</f>
        <v>Fanta 1.5L</v>
      </c>
      <c r="E34" t="str">
        <f>INDEX(Products_T[Category],MATCH(C34,Products_T[SKU],0))</f>
        <v>Beverages</v>
      </c>
      <c r="F34" t="str">
        <f>INDEX(Products_T[SupplierName],MATCH(C34,Products_T[SKU],0))</f>
        <v>Quality Imports Ltd</v>
      </c>
      <c r="G34">
        <f t="shared" si="5"/>
        <v>247</v>
      </c>
      <c r="H34" s="3">
        <v>284</v>
      </c>
      <c r="I34" s="3">
        <v>399</v>
      </c>
      <c r="J34" s="3">
        <v>0</v>
      </c>
      <c r="K34" s="3">
        <v>0</v>
      </c>
      <c r="L34">
        <f t="shared" ref="L34:L65" si="6">MAX(G34+H34-I34-J34+K34,0)</f>
        <v>132</v>
      </c>
      <c r="M34" s="10">
        <f>L34*INDEX(Products_T[UnitCost],MATCH(C34,Products_T[SKU],0))</f>
        <v>31680</v>
      </c>
      <c r="N34">
        <f>ROUND(INDEX(Products_T[AvgDailyUsage],MATCH(C34,Products_T[SKU],0))*(INDEX(Products_T[AvgLeadTime],MATCH(C34,Products_T[SKU],0))+INDEX(Products_T[LeadTimeRange],MATCH(C34,Products_T[SKU],0)))+INDEX(Products_T[SafetyStock],MATCH(C34,Products_T[SKU],0)),0)</f>
        <v>170</v>
      </c>
      <c r="O34" s="4">
        <f>IFERROR(L34/INDEX(Products_T[AvgDailyUsage],MATCH(C34,Products_T[SKU],0)),0)</f>
        <v>11.448395490026019</v>
      </c>
      <c r="P34" t="str">
        <f t="shared" ref="P34:P65" si="7">IF(L34=0,"Out of Stock",IF(L34&lt;0.5*N34,"Critical",IF(L34&lt;=N34,"Reorder",IF(L34&gt;2*N34,"Overstock","Healthy"))))</f>
        <v>Reorder</v>
      </c>
      <c r="Q34" t="str">
        <f t="shared" ref="Q34:Q65" si="8">IF(OR(P34="Out of Stock",P34="Critical",P34="Reorder"),"Yes","No")</f>
        <v>Yes</v>
      </c>
      <c r="R34">
        <f t="shared" ref="R34:R65" si="9">_xlfn.SWITCH(P34,"Out of Stock",0,"Critical",1,"Reorder",2,"Healthy",3,"Overstock",4,5)</f>
        <v>2</v>
      </c>
      <c r="S34" s="2">
        <f t="shared" ref="S34:S65" si="10">EOMONTH(A34,0)</f>
        <v>46081</v>
      </c>
      <c r="T34" s="12">
        <f>IFERROR(S34-_xlfn.MAXIFS(Transactions_T[Date],Transactions_T[SKU],C34,Transactions_T[Date],"&lt;="&amp;S34),"")</f>
        <v>4</v>
      </c>
    </row>
    <row r="35" spans="1:20" x14ac:dyDescent="0.25">
      <c r="A35" s="7">
        <v>46054</v>
      </c>
      <c r="B35" s="3" t="s">
        <v>30</v>
      </c>
      <c r="C35" s="3" t="s">
        <v>61</v>
      </c>
      <c r="D35" t="str">
        <f>INDEX(Products_T[ProductName],MATCH(C35,Products_T[SKU],0))</f>
        <v>Bottled Water 75cl</v>
      </c>
      <c r="E35" t="str">
        <f>INDEX(Products_T[Category],MATCH(C35,Products_T[SKU],0))</f>
        <v>Beverages</v>
      </c>
      <c r="F35" t="str">
        <f>INDEX(Products_T[SupplierName],MATCH(C35,Products_T[SKU],0))</f>
        <v>Bulk Wholesale Co</v>
      </c>
      <c r="G35">
        <f t="shared" si="5"/>
        <v>381</v>
      </c>
      <c r="H35" s="3">
        <v>275</v>
      </c>
      <c r="I35" s="3">
        <v>201</v>
      </c>
      <c r="J35" s="3">
        <v>0</v>
      </c>
      <c r="K35" s="3">
        <v>0</v>
      </c>
      <c r="L35">
        <f t="shared" si="6"/>
        <v>455</v>
      </c>
      <c r="M35" s="10">
        <f>L35*INDEX(Products_T[UnitCost],MATCH(C35,Products_T[SKU],0))</f>
        <v>45500</v>
      </c>
      <c r="N35">
        <f>ROUND(INDEX(Products_T[AvgDailyUsage],MATCH(C35,Products_T[SKU],0))*(INDEX(Products_T[AvgLeadTime],MATCH(C35,Products_T[SKU],0))+INDEX(Products_T[LeadTimeRange],MATCH(C35,Products_T[SKU],0)))+INDEX(Products_T[SafetyStock],MATCH(C35,Products_T[SKU],0)),0)</f>
        <v>95</v>
      </c>
      <c r="O35" s="4">
        <f>IFERROR(L35/INDEX(Products_T[AvgDailyUsage],MATCH(C35,Products_T[SKU],0)),0)</f>
        <v>58.408215661103981</v>
      </c>
      <c r="P35" t="str">
        <f t="shared" si="7"/>
        <v>Overstock</v>
      </c>
      <c r="Q35" t="str">
        <f t="shared" si="8"/>
        <v>No</v>
      </c>
      <c r="R35">
        <f t="shared" si="9"/>
        <v>4</v>
      </c>
      <c r="S35" s="2">
        <f t="shared" si="10"/>
        <v>46081</v>
      </c>
      <c r="T35" s="12">
        <f>IFERROR(S35-_xlfn.MAXIFS(Transactions_T[Date],Transactions_T[SKU],C35,Transactions_T[Date],"&lt;="&amp;S35),"")</f>
        <v>8</v>
      </c>
    </row>
    <row r="36" spans="1:20" x14ac:dyDescent="0.25">
      <c r="A36" s="7">
        <v>46054</v>
      </c>
      <c r="B36" s="3" t="s">
        <v>30</v>
      </c>
      <c r="C36" s="3" t="s">
        <v>63</v>
      </c>
      <c r="D36" t="str">
        <f>INDEX(Products_T[ProductName],MATCH(C36,Products_T[SKU],0))</f>
        <v>Malt Drink 33cl</v>
      </c>
      <c r="E36" t="str">
        <f>INDEX(Products_T[Category],MATCH(C36,Products_T[SKU],0))</f>
        <v>Beverages</v>
      </c>
      <c r="F36" t="str">
        <f>INDEX(Products_T[SupplierName],MATCH(C36,Products_T[SKU],0))</f>
        <v>Global Distributors Ltd</v>
      </c>
      <c r="G36">
        <f t="shared" si="5"/>
        <v>52</v>
      </c>
      <c r="H36" s="3">
        <v>238</v>
      </c>
      <c r="I36" s="3">
        <v>290</v>
      </c>
      <c r="J36" s="3">
        <v>0</v>
      </c>
      <c r="K36" s="3">
        <v>0</v>
      </c>
      <c r="L36">
        <f t="shared" si="6"/>
        <v>0</v>
      </c>
      <c r="M36" s="10">
        <f>L36*INDEX(Products_T[UnitCost],MATCH(C36,Products_T[SKU],0))</f>
        <v>0</v>
      </c>
      <c r="N36">
        <f>ROUND(INDEX(Products_T[AvgDailyUsage],MATCH(C36,Products_T[SKU],0))*(INDEX(Products_T[AvgLeadTime],MATCH(C36,Products_T[SKU],0))+INDEX(Products_T[LeadTimeRange],MATCH(C36,Products_T[SKU],0)))+INDEX(Products_T[SafetyStock],MATCH(C36,Products_T[SKU],0)),0)</f>
        <v>105</v>
      </c>
      <c r="O36" s="4">
        <f>IFERROR(L36/INDEX(Products_T[AvgDailyUsage],MATCH(C36,Products_T[SKU],0)),0)</f>
        <v>0</v>
      </c>
      <c r="P36" t="str">
        <f t="shared" si="7"/>
        <v>Out of Stock</v>
      </c>
      <c r="Q36" t="str">
        <f t="shared" si="8"/>
        <v>Yes</v>
      </c>
      <c r="R36">
        <f t="shared" si="9"/>
        <v>0</v>
      </c>
      <c r="S36" s="2">
        <f t="shared" si="10"/>
        <v>46081</v>
      </c>
      <c r="T36" s="12">
        <f>IFERROR(S36-_xlfn.MAXIFS(Transactions_T[Date],Transactions_T[SKU],C36,Transactions_T[Date],"&lt;="&amp;S36),"")</f>
        <v>4</v>
      </c>
    </row>
    <row r="37" spans="1:20" x14ac:dyDescent="0.25">
      <c r="A37" s="7">
        <v>46054</v>
      </c>
      <c r="B37" s="3" t="s">
        <v>30</v>
      </c>
      <c r="C37" s="3" t="s">
        <v>65</v>
      </c>
      <c r="D37" t="str">
        <f>INDEX(Products_T[ProductName],MATCH(C37,Products_T[SKU],0))</f>
        <v>Colgate Toothpaste 100ml</v>
      </c>
      <c r="E37" t="str">
        <f>INDEX(Products_T[Category],MATCH(C37,Products_T[SKU],0))</f>
        <v>Personal Care</v>
      </c>
      <c r="F37" t="str">
        <f>INDEX(Products_T[SupplierName],MATCH(C37,Products_T[SKU],0))</f>
        <v>Premier Supplies Ltd</v>
      </c>
      <c r="G37">
        <f t="shared" si="5"/>
        <v>190</v>
      </c>
      <c r="H37" s="3">
        <v>160</v>
      </c>
      <c r="I37" s="3">
        <v>111</v>
      </c>
      <c r="J37" s="3">
        <v>0</v>
      </c>
      <c r="K37" s="3">
        <v>0</v>
      </c>
      <c r="L37">
        <f t="shared" si="6"/>
        <v>239</v>
      </c>
      <c r="M37" s="10">
        <f>L37*INDEX(Products_T[UnitCost],MATCH(C37,Products_T[SKU],0))</f>
        <v>107550</v>
      </c>
      <c r="N37">
        <f>ROUND(INDEX(Products_T[AvgDailyUsage],MATCH(C37,Products_T[SKU],0))*(INDEX(Products_T[AvgLeadTime],MATCH(C37,Products_T[SKU],0))+INDEX(Products_T[LeadTimeRange],MATCH(C37,Products_T[SKU],0)))+INDEX(Products_T[SafetyStock],MATCH(C37,Products_T[SKU],0)),0)</f>
        <v>68</v>
      </c>
      <c r="O37" s="4">
        <f>IFERROR(L37/INDEX(Products_T[AvgDailyUsage],MATCH(C37,Products_T[SKU],0)),0)</f>
        <v>51.843817787418651</v>
      </c>
      <c r="P37" t="str">
        <f t="shared" si="7"/>
        <v>Overstock</v>
      </c>
      <c r="Q37" t="str">
        <f t="shared" si="8"/>
        <v>No</v>
      </c>
      <c r="R37">
        <f t="shared" si="9"/>
        <v>4</v>
      </c>
      <c r="S37" s="2">
        <f t="shared" si="10"/>
        <v>46081</v>
      </c>
      <c r="T37" s="12">
        <f>IFERROR(S37-_xlfn.MAXIFS(Transactions_T[Date],Transactions_T[SKU],C37,Transactions_T[Date],"&lt;="&amp;S37),"")</f>
        <v>13</v>
      </c>
    </row>
    <row r="38" spans="1:20" x14ac:dyDescent="0.25">
      <c r="A38" s="7">
        <v>46054</v>
      </c>
      <c r="B38" s="3" t="s">
        <v>30</v>
      </c>
      <c r="C38" s="3" t="s">
        <v>68</v>
      </c>
      <c r="D38" t="str">
        <f>INDEX(Products_T[ProductName],MATCH(C38,Products_T[SKU],0))</f>
        <v>Dettol Soap 100g</v>
      </c>
      <c r="E38" t="str">
        <f>INDEX(Products_T[Category],MATCH(C38,Products_T[SKU],0))</f>
        <v>Personal Care</v>
      </c>
      <c r="F38" t="str">
        <f>INDEX(Products_T[SupplierName],MATCH(C38,Products_T[SKU],0))</f>
        <v>Premier Supplies Ltd</v>
      </c>
      <c r="G38">
        <f t="shared" si="5"/>
        <v>67</v>
      </c>
      <c r="H38" s="3">
        <v>184</v>
      </c>
      <c r="I38" s="3">
        <v>116</v>
      </c>
      <c r="J38" s="3">
        <v>0</v>
      </c>
      <c r="K38" s="3">
        <v>0</v>
      </c>
      <c r="L38">
        <f t="shared" si="6"/>
        <v>135</v>
      </c>
      <c r="M38" s="10">
        <f>L38*INDEX(Products_T[UnitCost],MATCH(C38,Products_T[SKU],0))</f>
        <v>29700</v>
      </c>
      <c r="N38">
        <f>ROUND(INDEX(Products_T[AvgDailyUsage],MATCH(C38,Products_T[SKU],0))*(INDEX(Products_T[AvgLeadTime],MATCH(C38,Products_T[SKU],0))+INDEX(Products_T[LeadTimeRange],MATCH(C38,Products_T[SKU],0)))+INDEX(Products_T[SafetyStock],MATCH(C38,Products_T[SKU],0)),0)</f>
        <v>73</v>
      </c>
      <c r="O38" s="4">
        <f>IFERROR(L38/INDEX(Products_T[AvgDailyUsage],MATCH(C38,Products_T[SKU],0)),0)</f>
        <v>26.8389662027833</v>
      </c>
      <c r="P38" t="str">
        <f t="shared" si="7"/>
        <v>Healthy</v>
      </c>
      <c r="Q38" t="str">
        <f t="shared" si="8"/>
        <v>No</v>
      </c>
      <c r="R38">
        <f t="shared" si="9"/>
        <v>3</v>
      </c>
      <c r="S38" s="2">
        <f t="shared" si="10"/>
        <v>46081</v>
      </c>
      <c r="T38" s="12">
        <f>IFERROR(S38-_xlfn.MAXIFS(Transactions_T[Date],Transactions_T[SKU],C38,Transactions_T[Date],"&lt;="&amp;S38),"")</f>
        <v>2</v>
      </c>
    </row>
    <row r="39" spans="1:20" x14ac:dyDescent="0.25">
      <c r="A39" s="7">
        <v>46054</v>
      </c>
      <c r="B39" s="3" t="s">
        <v>30</v>
      </c>
      <c r="C39" s="3" t="s">
        <v>70</v>
      </c>
      <c r="D39" t="str">
        <f>INDEX(Products_T[ProductName],MATCH(C39,Products_T[SKU],0))</f>
        <v>Sunsilk Shampoo 200ml</v>
      </c>
      <c r="E39" t="str">
        <f>INDEX(Products_T[Category],MATCH(C39,Products_T[SKU],0))</f>
        <v>Personal Care</v>
      </c>
      <c r="F39" t="str">
        <f>INDEX(Products_T[SupplierName],MATCH(C39,Products_T[SKU],0))</f>
        <v>Premier Supplies Ltd</v>
      </c>
      <c r="G39">
        <f t="shared" si="5"/>
        <v>16</v>
      </c>
      <c r="H39" s="3">
        <v>225</v>
      </c>
      <c r="I39" s="3">
        <v>241</v>
      </c>
      <c r="J39" s="3">
        <v>0</v>
      </c>
      <c r="K39" s="3">
        <v>0</v>
      </c>
      <c r="L39">
        <f t="shared" si="6"/>
        <v>0</v>
      </c>
      <c r="M39" s="10">
        <f>L39*INDEX(Products_T[UnitCost],MATCH(C39,Products_T[SKU],0))</f>
        <v>0</v>
      </c>
      <c r="N39">
        <f>ROUND(INDEX(Products_T[AvgDailyUsage],MATCH(C39,Products_T[SKU],0))*(INDEX(Products_T[AvgLeadTime],MATCH(C39,Products_T[SKU],0))+INDEX(Products_T[LeadTimeRange],MATCH(C39,Products_T[SKU],0)))+INDEX(Products_T[SafetyStock],MATCH(C39,Products_T[SKU],0)),0)</f>
        <v>108</v>
      </c>
      <c r="O39" s="4">
        <f>IFERROR(L39/INDEX(Products_T[AvgDailyUsage],MATCH(C39,Products_T[SKU],0)),0)</f>
        <v>0</v>
      </c>
      <c r="P39" t="str">
        <f t="shared" si="7"/>
        <v>Out of Stock</v>
      </c>
      <c r="Q39" t="str">
        <f t="shared" si="8"/>
        <v>Yes</v>
      </c>
      <c r="R39">
        <f t="shared" si="9"/>
        <v>0</v>
      </c>
      <c r="S39" s="2">
        <f t="shared" si="10"/>
        <v>46081</v>
      </c>
      <c r="T39" s="12">
        <f>IFERROR(S39-_xlfn.MAXIFS(Transactions_T[Date],Transactions_T[SKU],C39,Transactions_T[Date],"&lt;="&amp;S39),"")</f>
        <v>1</v>
      </c>
    </row>
    <row r="40" spans="1:20" x14ac:dyDescent="0.25">
      <c r="A40" s="7">
        <v>46054</v>
      </c>
      <c r="B40" s="3" t="s">
        <v>30</v>
      </c>
      <c r="C40" s="3" t="s">
        <v>72</v>
      </c>
      <c r="D40" t="str">
        <f>INDEX(Products_T[ProductName],MATCH(C40,Products_T[SKU],0))</f>
        <v>Vaseline Lotion 400ml</v>
      </c>
      <c r="E40" t="str">
        <f>INDEX(Products_T[Category],MATCH(C40,Products_T[SKU],0))</f>
        <v>Personal Care</v>
      </c>
      <c r="F40" t="str">
        <f>INDEX(Products_T[SupplierName],MATCH(C40,Products_T[SKU],0))</f>
        <v>Local Sourcing Ltd</v>
      </c>
      <c r="G40">
        <f t="shared" si="5"/>
        <v>24</v>
      </c>
      <c r="H40" s="3">
        <v>227</v>
      </c>
      <c r="I40" s="3">
        <v>251</v>
      </c>
      <c r="J40" s="3">
        <v>0</v>
      </c>
      <c r="K40" s="3">
        <v>0</v>
      </c>
      <c r="L40">
        <f t="shared" si="6"/>
        <v>0</v>
      </c>
      <c r="M40" s="10">
        <f>L40*INDEX(Products_T[UnitCost],MATCH(C40,Products_T[SKU],0))</f>
        <v>0</v>
      </c>
      <c r="N40">
        <f>ROUND(INDEX(Products_T[AvgDailyUsage],MATCH(C40,Products_T[SKU],0))*(INDEX(Products_T[AvgLeadTime],MATCH(C40,Products_T[SKU],0))+INDEX(Products_T[LeadTimeRange],MATCH(C40,Products_T[SKU],0)))+INDEX(Products_T[SafetyStock],MATCH(C40,Products_T[SKU],0)),0)</f>
        <v>67</v>
      </c>
      <c r="O40" s="4">
        <f>IFERROR(L40/INDEX(Products_T[AvgDailyUsage],MATCH(C40,Products_T[SKU],0)),0)</f>
        <v>0</v>
      </c>
      <c r="P40" t="str">
        <f t="shared" si="7"/>
        <v>Out of Stock</v>
      </c>
      <c r="Q40" t="str">
        <f t="shared" si="8"/>
        <v>Yes</v>
      </c>
      <c r="R40">
        <f t="shared" si="9"/>
        <v>0</v>
      </c>
      <c r="S40" s="2">
        <f t="shared" si="10"/>
        <v>46081</v>
      </c>
      <c r="T40" s="12">
        <f>IFERROR(S40-_xlfn.MAXIFS(Transactions_T[Date],Transactions_T[SKU],C40,Transactions_T[Date],"&lt;="&amp;S40),"")</f>
        <v>0</v>
      </c>
    </row>
    <row r="41" spans="1:20" x14ac:dyDescent="0.25">
      <c r="A41" s="7">
        <v>46054</v>
      </c>
      <c r="B41" s="3" t="s">
        <v>30</v>
      </c>
      <c r="C41" s="3" t="s">
        <v>74</v>
      </c>
      <c r="D41" t="str">
        <f>INDEX(Products_T[ProductName],MATCH(C41,Products_T[SKU],0))</f>
        <v>Always Sanitary Pads</v>
      </c>
      <c r="E41" t="str">
        <f>INDEX(Products_T[Category],MATCH(C41,Products_T[SKU],0))</f>
        <v>Personal Care</v>
      </c>
      <c r="F41" t="str">
        <f>INDEX(Products_T[SupplierName],MATCH(C41,Products_T[SKU],0))</f>
        <v>Premier Supplies Ltd</v>
      </c>
      <c r="G41">
        <f t="shared" si="5"/>
        <v>50</v>
      </c>
      <c r="H41" s="3">
        <v>184</v>
      </c>
      <c r="I41" s="3">
        <v>135</v>
      </c>
      <c r="J41" s="3">
        <v>0</v>
      </c>
      <c r="K41" s="3">
        <v>0</v>
      </c>
      <c r="L41">
        <f t="shared" si="6"/>
        <v>99</v>
      </c>
      <c r="M41" s="10">
        <f>L41*INDEX(Products_T[UnitCost],MATCH(C41,Products_T[SKU],0))</f>
        <v>37620</v>
      </c>
      <c r="N41">
        <f>ROUND(INDEX(Products_T[AvgDailyUsage],MATCH(C41,Products_T[SKU],0))*(INDEX(Products_T[AvgLeadTime],MATCH(C41,Products_T[SKU],0))+INDEX(Products_T[LeadTimeRange],MATCH(C41,Products_T[SKU],0)))+INDEX(Products_T[SafetyStock],MATCH(C41,Products_T[SKU],0)),0)</f>
        <v>75</v>
      </c>
      <c r="O41" s="4">
        <f>IFERROR(L41/INDEX(Products_T[AvgDailyUsage],MATCH(C41,Products_T[SKU],0)),0)</f>
        <v>19.038461538461537</v>
      </c>
      <c r="P41" t="str">
        <f t="shared" si="7"/>
        <v>Healthy</v>
      </c>
      <c r="Q41" t="str">
        <f t="shared" si="8"/>
        <v>No</v>
      </c>
      <c r="R41">
        <f t="shared" si="9"/>
        <v>3</v>
      </c>
      <c r="S41" s="2">
        <f t="shared" si="10"/>
        <v>46081</v>
      </c>
      <c r="T41" s="12">
        <f>IFERROR(S41-_xlfn.MAXIFS(Transactions_T[Date],Transactions_T[SKU],C41,Transactions_T[Date],"&lt;="&amp;S41),"")</f>
        <v>12</v>
      </c>
    </row>
    <row r="42" spans="1:20" x14ac:dyDescent="0.25">
      <c r="A42" s="7">
        <v>46054</v>
      </c>
      <c r="B42" s="3" t="s">
        <v>30</v>
      </c>
      <c r="C42" s="3" t="s">
        <v>76</v>
      </c>
      <c r="D42" t="str">
        <f>INDEX(Products_T[ProductName],MATCH(C42,Products_T[SKU],0))</f>
        <v>Indomie Noodles Carton</v>
      </c>
      <c r="E42" t="str">
        <f>INDEX(Products_T[Category],MATCH(C42,Products_T[SKU],0))</f>
        <v>Packaged Foods</v>
      </c>
      <c r="F42" t="str">
        <f>INDEX(Products_T[SupplierName],MATCH(C42,Products_T[SKU],0))</f>
        <v>Bulk Wholesale Co</v>
      </c>
      <c r="G42">
        <f t="shared" si="5"/>
        <v>137</v>
      </c>
      <c r="H42" s="3">
        <v>209</v>
      </c>
      <c r="I42" s="3">
        <v>278</v>
      </c>
      <c r="J42" s="3">
        <v>0</v>
      </c>
      <c r="K42" s="3">
        <v>0</v>
      </c>
      <c r="L42">
        <f t="shared" si="6"/>
        <v>68</v>
      </c>
      <c r="M42" s="10">
        <f>L42*INDEX(Products_T[UnitCost],MATCH(C42,Products_T[SKU],0))</f>
        <v>285600</v>
      </c>
      <c r="N42">
        <f>ROUND(INDEX(Products_T[AvgDailyUsage],MATCH(C42,Products_T[SKU],0))*(INDEX(Products_T[AvgLeadTime],MATCH(C42,Products_T[SKU],0))+INDEX(Products_T[LeadTimeRange],MATCH(C42,Products_T[SKU],0)))+INDEX(Products_T[SafetyStock],MATCH(C42,Products_T[SKU],0)),0)</f>
        <v>69</v>
      </c>
      <c r="O42" s="4">
        <f>IFERROR(L42/INDEX(Products_T[AvgDailyUsage],MATCH(C42,Products_T[SKU],0)),0)</f>
        <v>8.8197146562905324</v>
      </c>
      <c r="P42" t="str">
        <f t="shared" si="7"/>
        <v>Reorder</v>
      </c>
      <c r="Q42" t="str">
        <f t="shared" si="8"/>
        <v>Yes</v>
      </c>
      <c r="R42">
        <f t="shared" si="9"/>
        <v>2</v>
      </c>
      <c r="S42" s="2">
        <f t="shared" si="10"/>
        <v>46081</v>
      </c>
      <c r="T42" s="12">
        <f>IFERROR(S42-_xlfn.MAXIFS(Transactions_T[Date],Transactions_T[SKU],C42,Transactions_T[Date],"&lt;="&amp;S42),"")</f>
        <v>0</v>
      </c>
    </row>
    <row r="43" spans="1:20" x14ac:dyDescent="0.25">
      <c r="A43" s="7">
        <v>46054</v>
      </c>
      <c r="B43" s="3" t="s">
        <v>30</v>
      </c>
      <c r="C43" s="3" t="s">
        <v>79</v>
      </c>
      <c r="D43" t="str">
        <f>INDEX(Products_T[ProductName],MATCH(C43,Products_T[SKU],0))</f>
        <v>Golden Penny Semovita 1kg</v>
      </c>
      <c r="E43" t="str">
        <f>INDEX(Products_T[Category],MATCH(C43,Products_T[SKU],0))</f>
        <v>Packaged Foods</v>
      </c>
      <c r="F43" t="str">
        <f>INDEX(Products_T[SupplierName],MATCH(C43,Products_T[SKU],0))</f>
        <v>Bulk Wholesale Co</v>
      </c>
      <c r="G43">
        <f t="shared" si="5"/>
        <v>131</v>
      </c>
      <c r="H43" s="3">
        <v>174</v>
      </c>
      <c r="I43" s="3">
        <v>258</v>
      </c>
      <c r="J43" s="3">
        <v>0</v>
      </c>
      <c r="K43" s="3">
        <v>0</v>
      </c>
      <c r="L43">
        <f t="shared" si="6"/>
        <v>47</v>
      </c>
      <c r="M43" s="10">
        <f>L43*INDEX(Products_T[UnitCost],MATCH(C43,Products_T[SKU],0))</f>
        <v>39950</v>
      </c>
      <c r="N43">
        <f>ROUND(INDEX(Products_T[AvgDailyUsage],MATCH(C43,Products_T[SKU],0))*(INDEX(Products_T[AvgLeadTime],MATCH(C43,Products_T[SKU],0))+INDEX(Products_T[LeadTimeRange],MATCH(C43,Products_T[SKU],0)))+INDEX(Products_T[SafetyStock],MATCH(C43,Products_T[SKU],0)),0)</f>
        <v>69</v>
      </c>
      <c r="O43" s="4">
        <f>IFERROR(L43/INDEX(Products_T[AvgDailyUsage],MATCH(C43,Products_T[SKU],0)),0)</f>
        <v>6.6856330014224747</v>
      </c>
      <c r="P43" t="str">
        <f t="shared" si="7"/>
        <v>Reorder</v>
      </c>
      <c r="Q43" t="str">
        <f t="shared" si="8"/>
        <v>Yes</v>
      </c>
      <c r="R43">
        <f t="shared" si="9"/>
        <v>2</v>
      </c>
      <c r="S43" s="2">
        <f t="shared" si="10"/>
        <v>46081</v>
      </c>
      <c r="T43" s="12">
        <f>IFERROR(S43-_xlfn.MAXIFS(Transactions_T[Date],Transactions_T[SKU],C43,Transactions_T[Date],"&lt;="&amp;S43),"")</f>
        <v>8</v>
      </c>
    </row>
    <row r="44" spans="1:20" x14ac:dyDescent="0.25">
      <c r="A44" s="7">
        <v>46054</v>
      </c>
      <c r="B44" s="3" t="s">
        <v>30</v>
      </c>
      <c r="C44" s="3" t="s">
        <v>81</v>
      </c>
      <c r="D44" t="str">
        <f>INDEX(Products_T[ProductName],MATCH(C44,Products_T[SKU],0))</f>
        <v>Peak Milk Tin 400g</v>
      </c>
      <c r="E44" t="str">
        <f>INDEX(Products_T[Category],MATCH(C44,Products_T[SKU],0))</f>
        <v>Packaged Foods</v>
      </c>
      <c r="F44" t="str">
        <f>INDEX(Products_T[SupplierName],MATCH(C44,Products_T[SKU],0))</f>
        <v>Global Distributors Ltd</v>
      </c>
      <c r="G44">
        <f t="shared" si="5"/>
        <v>334</v>
      </c>
      <c r="H44" s="3">
        <v>200</v>
      </c>
      <c r="I44" s="3">
        <v>245</v>
      </c>
      <c r="J44" s="3">
        <v>0</v>
      </c>
      <c r="K44" s="3">
        <v>0</v>
      </c>
      <c r="L44">
        <f t="shared" si="6"/>
        <v>289</v>
      </c>
      <c r="M44" s="10">
        <f>L44*INDEX(Products_T[UnitCost],MATCH(C44,Products_T[SKU],0))</f>
        <v>196520</v>
      </c>
      <c r="N44">
        <f>ROUND(INDEX(Products_T[AvgDailyUsage],MATCH(C44,Products_T[SKU],0))*(INDEX(Products_T[AvgLeadTime],MATCH(C44,Products_T[SKU],0))+INDEX(Products_T[LeadTimeRange],MATCH(C44,Products_T[SKU],0)))+INDEX(Products_T[SafetyStock],MATCH(C44,Products_T[SKU],0)),0)</f>
        <v>85</v>
      </c>
      <c r="O44" s="4">
        <f>IFERROR(L44/INDEX(Products_T[AvgDailyUsage],MATCH(C44,Products_T[SKU],0)),0)</f>
        <v>40.02770083102493</v>
      </c>
      <c r="P44" t="str">
        <f t="shared" si="7"/>
        <v>Overstock</v>
      </c>
      <c r="Q44" t="str">
        <f t="shared" si="8"/>
        <v>No</v>
      </c>
      <c r="R44">
        <f t="shared" si="9"/>
        <v>4</v>
      </c>
      <c r="S44" s="2">
        <f t="shared" si="10"/>
        <v>46081</v>
      </c>
      <c r="T44" s="12">
        <f>IFERROR(S44-_xlfn.MAXIFS(Transactions_T[Date],Transactions_T[SKU],C44,Transactions_T[Date],"&lt;="&amp;S44),"")</f>
        <v>12</v>
      </c>
    </row>
    <row r="45" spans="1:20" x14ac:dyDescent="0.25">
      <c r="A45" s="7">
        <v>46054</v>
      </c>
      <c r="B45" s="3" t="s">
        <v>30</v>
      </c>
      <c r="C45" s="3" t="s">
        <v>83</v>
      </c>
      <c r="D45" t="str">
        <f>INDEX(Products_T[ProductName],MATCH(C45,Products_T[SKU],0))</f>
        <v>Dangote Pasta 500g</v>
      </c>
      <c r="E45" t="str">
        <f>INDEX(Products_T[Category],MATCH(C45,Products_T[SKU],0))</f>
        <v>Packaged Foods</v>
      </c>
      <c r="F45" t="str">
        <f>INDEX(Products_T[SupplierName],MATCH(C45,Products_T[SKU],0))</f>
        <v>Bulk Wholesale Co</v>
      </c>
      <c r="G45">
        <f t="shared" si="5"/>
        <v>24</v>
      </c>
      <c r="H45" s="3">
        <v>236</v>
      </c>
      <c r="I45" s="3">
        <v>176</v>
      </c>
      <c r="J45" s="3">
        <v>0</v>
      </c>
      <c r="K45" s="3">
        <v>0</v>
      </c>
      <c r="L45">
        <f t="shared" si="6"/>
        <v>84</v>
      </c>
      <c r="M45" s="10">
        <f>L45*INDEX(Products_T[UnitCost],MATCH(C45,Products_T[SKU],0))</f>
        <v>26880</v>
      </c>
      <c r="N45">
        <f>ROUND(INDEX(Products_T[AvgDailyUsage],MATCH(C45,Products_T[SKU],0))*(INDEX(Products_T[AvgLeadTime],MATCH(C45,Products_T[SKU],0))+INDEX(Products_T[LeadTimeRange],MATCH(C45,Products_T[SKU],0)))+INDEX(Products_T[SafetyStock],MATCH(C45,Products_T[SKU],0)),0)</f>
        <v>78</v>
      </c>
      <c r="O45" s="4">
        <f>IFERROR(L45/INDEX(Products_T[AvgDailyUsage],MATCH(C45,Products_T[SKU],0)),0)</f>
        <v>12.334801762114537</v>
      </c>
      <c r="P45" t="str">
        <f t="shared" si="7"/>
        <v>Healthy</v>
      </c>
      <c r="Q45" t="str">
        <f t="shared" si="8"/>
        <v>No</v>
      </c>
      <c r="R45">
        <f t="shared" si="9"/>
        <v>3</v>
      </c>
      <c r="S45" s="2">
        <f t="shared" si="10"/>
        <v>46081</v>
      </c>
      <c r="T45" s="12">
        <f>IFERROR(S45-_xlfn.MAXIFS(Transactions_T[Date],Transactions_T[SKU],C45,Transactions_T[Date],"&lt;="&amp;S45),"")</f>
        <v>3</v>
      </c>
    </row>
    <row r="46" spans="1:20" x14ac:dyDescent="0.25">
      <c r="A46" s="7">
        <v>46054</v>
      </c>
      <c r="B46" s="3" t="s">
        <v>30</v>
      </c>
      <c r="C46" s="3" t="s">
        <v>85</v>
      </c>
      <c r="D46" t="str">
        <f>INDEX(Products_T[ProductName],MATCH(C46,Products_T[SKU],0))</f>
        <v>Kings Vegetable Oil 1L</v>
      </c>
      <c r="E46" t="str">
        <f>INDEX(Products_T[Category],MATCH(C46,Products_T[SKU],0))</f>
        <v>Packaged Foods</v>
      </c>
      <c r="F46" t="str">
        <f>INDEX(Products_T[SupplierName],MATCH(C46,Products_T[SKU],0))</f>
        <v>Global Distributors Ltd</v>
      </c>
      <c r="G46">
        <f t="shared" si="5"/>
        <v>49</v>
      </c>
      <c r="H46" s="3">
        <v>82</v>
      </c>
      <c r="I46" s="3">
        <v>114</v>
      </c>
      <c r="J46" s="3">
        <v>0</v>
      </c>
      <c r="K46" s="3">
        <v>0</v>
      </c>
      <c r="L46">
        <f t="shared" si="6"/>
        <v>17</v>
      </c>
      <c r="M46" s="10">
        <f>L46*INDEX(Products_T[UnitCost],MATCH(C46,Products_T[SKU],0))</f>
        <v>24650</v>
      </c>
      <c r="N46">
        <f>ROUND(INDEX(Products_T[AvgDailyUsage],MATCH(C46,Products_T[SKU],0))*(INDEX(Products_T[AvgLeadTime],MATCH(C46,Products_T[SKU],0))+INDEX(Products_T[LeadTimeRange],MATCH(C46,Products_T[SKU],0)))+INDEX(Products_T[SafetyStock],MATCH(C46,Products_T[SKU],0)),0)</f>
        <v>46</v>
      </c>
      <c r="O46" s="4">
        <f>IFERROR(L46/INDEX(Products_T[AvgDailyUsage],MATCH(C46,Products_T[SKU],0)),0)</f>
        <v>5.4662379421221869</v>
      </c>
      <c r="P46" t="str">
        <f t="shared" si="7"/>
        <v>Critical</v>
      </c>
      <c r="Q46" t="str">
        <f t="shared" si="8"/>
        <v>Yes</v>
      </c>
      <c r="R46">
        <f t="shared" si="9"/>
        <v>1</v>
      </c>
      <c r="S46" s="2">
        <f t="shared" si="10"/>
        <v>46081</v>
      </c>
      <c r="T46" s="12">
        <f>IFERROR(S46-_xlfn.MAXIFS(Transactions_T[Date],Transactions_T[SKU],C46,Transactions_T[Date],"&lt;="&amp;S46),"")</f>
        <v>3</v>
      </c>
    </row>
    <row r="47" spans="1:20" x14ac:dyDescent="0.25">
      <c r="A47" s="7">
        <v>46054</v>
      </c>
      <c r="B47" s="3" t="s">
        <v>30</v>
      </c>
      <c r="C47" s="3" t="s">
        <v>87</v>
      </c>
      <c r="D47" t="str">
        <f>INDEX(Products_T[ProductName],MATCH(C47,Products_T[SKU],0))</f>
        <v>Titus Sardine Tin</v>
      </c>
      <c r="E47" t="str">
        <f>INDEX(Products_T[Category],MATCH(C47,Products_T[SKU],0))</f>
        <v>Packaged Foods</v>
      </c>
      <c r="F47" t="str">
        <f>INDEX(Products_T[SupplierName],MATCH(C47,Products_T[SKU],0))</f>
        <v>Bulk Wholesale Co</v>
      </c>
      <c r="G47">
        <f t="shared" si="5"/>
        <v>0</v>
      </c>
      <c r="H47" s="3">
        <v>181</v>
      </c>
      <c r="I47" s="3">
        <v>119</v>
      </c>
      <c r="J47" s="3">
        <v>0</v>
      </c>
      <c r="K47" s="3">
        <v>0</v>
      </c>
      <c r="L47">
        <f t="shared" si="6"/>
        <v>62</v>
      </c>
      <c r="M47" s="10">
        <f>L47*INDEX(Products_T[UnitCost],MATCH(C47,Products_T[SKU],0))</f>
        <v>35960</v>
      </c>
      <c r="N47">
        <f>ROUND(INDEX(Products_T[AvgDailyUsage],MATCH(C47,Products_T[SKU],0))*(INDEX(Products_T[AvgLeadTime],MATCH(C47,Products_T[SKU],0))+INDEX(Products_T[LeadTimeRange],MATCH(C47,Products_T[SKU],0)))+INDEX(Products_T[SafetyStock],MATCH(C47,Products_T[SKU],0)),0)</f>
        <v>52</v>
      </c>
      <c r="O47" s="4">
        <f>IFERROR(L47/INDEX(Products_T[AvgDailyUsage],MATCH(C47,Products_T[SKU],0)),0)</f>
        <v>11.720226843100189</v>
      </c>
      <c r="P47" t="str">
        <f t="shared" si="7"/>
        <v>Healthy</v>
      </c>
      <c r="Q47" t="str">
        <f t="shared" si="8"/>
        <v>No</v>
      </c>
      <c r="R47">
        <f t="shared" si="9"/>
        <v>3</v>
      </c>
      <c r="S47" s="2">
        <f t="shared" si="10"/>
        <v>46081</v>
      </c>
      <c r="T47" s="12">
        <f>IFERROR(S47-_xlfn.MAXIFS(Transactions_T[Date],Transactions_T[SKU],C47,Transactions_T[Date],"&lt;="&amp;S47),"")</f>
        <v>12</v>
      </c>
    </row>
    <row r="48" spans="1:20" x14ac:dyDescent="0.25">
      <c r="A48" s="7">
        <v>46054</v>
      </c>
      <c r="B48" s="3" t="s">
        <v>30</v>
      </c>
      <c r="C48" s="3" t="s">
        <v>89</v>
      </c>
      <c r="D48" t="str">
        <f>INDEX(Products_T[ProductName],MATCH(C48,Products_T[SKU],0))</f>
        <v>Nasco Cornflakes 500g</v>
      </c>
      <c r="E48" t="str">
        <f>INDEX(Products_T[Category],MATCH(C48,Products_T[SKU],0))</f>
        <v>Packaged Foods</v>
      </c>
      <c r="F48" t="str">
        <f>INDEX(Products_T[SupplierName],MATCH(C48,Products_T[SKU],0))</f>
        <v>Quality Imports Ltd</v>
      </c>
      <c r="G48">
        <f t="shared" si="5"/>
        <v>175</v>
      </c>
      <c r="H48" s="3">
        <v>205</v>
      </c>
      <c r="I48" s="3">
        <v>146</v>
      </c>
      <c r="J48" s="3">
        <v>0</v>
      </c>
      <c r="K48" s="3">
        <v>0</v>
      </c>
      <c r="L48">
        <f t="shared" si="6"/>
        <v>234</v>
      </c>
      <c r="M48" s="10">
        <f>L48*INDEX(Products_T[UnitCost],MATCH(C48,Products_T[SKU],0))</f>
        <v>222300</v>
      </c>
      <c r="N48">
        <f>ROUND(INDEX(Products_T[AvgDailyUsage],MATCH(C48,Products_T[SKU],0))*(INDEX(Products_T[AvgLeadTime],MATCH(C48,Products_T[SKU],0))+INDEX(Products_T[LeadTimeRange],MATCH(C48,Products_T[SKU],0)))+INDEX(Products_T[SafetyStock],MATCH(C48,Products_T[SKU],0)),0)</f>
        <v>85</v>
      </c>
      <c r="O48" s="4">
        <f>IFERROR(L48/INDEX(Products_T[AvgDailyUsage],MATCH(C48,Products_T[SKU],0)),0)</f>
        <v>43.656716417910445</v>
      </c>
      <c r="P48" t="str">
        <f t="shared" si="7"/>
        <v>Overstock</v>
      </c>
      <c r="Q48" t="str">
        <f t="shared" si="8"/>
        <v>No</v>
      </c>
      <c r="R48">
        <f t="shared" si="9"/>
        <v>4</v>
      </c>
      <c r="S48" s="2">
        <f t="shared" si="10"/>
        <v>46081</v>
      </c>
      <c r="T48" s="12">
        <f>IFERROR(S48-_xlfn.MAXIFS(Transactions_T[Date],Transactions_T[SKU],C48,Transactions_T[Date],"&lt;="&amp;S48),"")</f>
        <v>5</v>
      </c>
    </row>
    <row r="49" spans="1:20" x14ac:dyDescent="0.25">
      <c r="A49" s="7">
        <v>46054</v>
      </c>
      <c r="B49" s="3" t="s">
        <v>30</v>
      </c>
      <c r="C49" s="3" t="s">
        <v>91</v>
      </c>
      <c r="D49" t="str">
        <f>INDEX(Products_T[ProductName],MATCH(C49,Products_T[SKU],0))</f>
        <v>Omo Detergent 900g</v>
      </c>
      <c r="E49" t="str">
        <f>INDEX(Products_T[Category],MATCH(C49,Products_T[SKU],0))</f>
        <v>Household</v>
      </c>
      <c r="F49" t="str">
        <f>INDEX(Products_T[SupplierName],MATCH(C49,Products_T[SKU],0))</f>
        <v>Premier Supplies Ltd</v>
      </c>
      <c r="G49">
        <f t="shared" si="5"/>
        <v>82</v>
      </c>
      <c r="H49" s="3">
        <v>214</v>
      </c>
      <c r="I49" s="3">
        <v>158</v>
      </c>
      <c r="J49" s="3">
        <v>0</v>
      </c>
      <c r="K49" s="3">
        <v>0</v>
      </c>
      <c r="L49">
        <f t="shared" si="6"/>
        <v>138</v>
      </c>
      <c r="M49" s="10">
        <f>L49*INDEX(Products_T[UnitCost],MATCH(C49,Products_T[SKU],0))</f>
        <v>93840</v>
      </c>
      <c r="N49">
        <f>ROUND(INDEX(Products_T[AvgDailyUsage],MATCH(C49,Products_T[SKU],0))*(INDEX(Products_T[AvgLeadTime],MATCH(C49,Products_T[SKU],0))+INDEX(Products_T[LeadTimeRange],MATCH(C49,Products_T[SKU],0)))+INDEX(Products_T[SafetyStock],MATCH(C49,Products_T[SKU],0)),0)</f>
        <v>81</v>
      </c>
      <c r="O49" s="4">
        <f>IFERROR(L49/INDEX(Products_T[AvgDailyUsage],MATCH(C49,Products_T[SKU],0)),0)</f>
        <v>23.793103448275861</v>
      </c>
      <c r="P49" t="str">
        <f t="shared" si="7"/>
        <v>Healthy</v>
      </c>
      <c r="Q49" t="str">
        <f t="shared" si="8"/>
        <v>No</v>
      </c>
      <c r="R49">
        <f t="shared" si="9"/>
        <v>3</v>
      </c>
      <c r="S49" s="2">
        <f t="shared" si="10"/>
        <v>46081</v>
      </c>
      <c r="T49" s="12">
        <f>IFERROR(S49-_xlfn.MAXIFS(Transactions_T[Date],Transactions_T[SKU],C49,Transactions_T[Date],"&lt;="&amp;S49),"")</f>
        <v>13</v>
      </c>
    </row>
    <row r="50" spans="1:20" x14ac:dyDescent="0.25">
      <c r="A50" s="7">
        <v>46054</v>
      </c>
      <c r="B50" s="3" t="s">
        <v>30</v>
      </c>
      <c r="C50" s="3" t="s">
        <v>94</v>
      </c>
      <c r="D50" t="str">
        <f>INDEX(Products_T[ProductName],MATCH(C50,Products_T[SKU],0))</f>
        <v>Harpic Toilet Cleaner</v>
      </c>
      <c r="E50" t="str">
        <f>INDEX(Products_T[Category],MATCH(C50,Products_T[SKU],0))</f>
        <v>Household</v>
      </c>
      <c r="F50" t="str">
        <f>INDEX(Products_T[SupplierName],MATCH(C50,Products_T[SKU],0))</f>
        <v>Bulk Wholesale Co</v>
      </c>
      <c r="G50">
        <f t="shared" si="5"/>
        <v>18</v>
      </c>
      <c r="H50" s="3">
        <v>135</v>
      </c>
      <c r="I50" s="3">
        <v>153</v>
      </c>
      <c r="J50" s="3">
        <v>0</v>
      </c>
      <c r="K50" s="3">
        <v>0</v>
      </c>
      <c r="L50">
        <f t="shared" si="6"/>
        <v>0</v>
      </c>
      <c r="M50" s="10">
        <f>L50*INDEX(Products_T[UnitCost],MATCH(C50,Products_T[SKU],0))</f>
        <v>0</v>
      </c>
      <c r="N50">
        <f>ROUND(INDEX(Products_T[AvgDailyUsage],MATCH(C50,Products_T[SKU],0))*(INDEX(Products_T[AvgLeadTime],MATCH(C50,Products_T[SKU],0))+INDEX(Products_T[LeadTimeRange],MATCH(C50,Products_T[SKU],0)))+INDEX(Products_T[SafetyStock],MATCH(C50,Products_T[SKU],0)),0)</f>
        <v>56</v>
      </c>
      <c r="O50" s="4">
        <f>IFERROR(L50/INDEX(Products_T[AvgDailyUsage],MATCH(C50,Products_T[SKU],0)),0)</f>
        <v>0</v>
      </c>
      <c r="P50" t="str">
        <f t="shared" si="7"/>
        <v>Out of Stock</v>
      </c>
      <c r="Q50" t="str">
        <f t="shared" si="8"/>
        <v>Yes</v>
      </c>
      <c r="R50">
        <f t="shared" si="9"/>
        <v>0</v>
      </c>
      <c r="S50" s="2">
        <f t="shared" si="10"/>
        <v>46081</v>
      </c>
      <c r="T50" s="12">
        <f>IFERROR(S50-_xlfn.MAXIFS(Transactions_T[Date],Transactions_T[SKU],C50,Transactions_T[Date],"&lt;="&amp;S50),"")</f>
        <v>13</v>
      </c>
    </row>
    <row r="51" spans="1:20" x14ac:dyDescent="0.25">
      <c r="A51" s="7">
        <v>46054</v>
      </c>
      <c r="B51" s="3" t="s">
        <v>30</v>
      </c>
      <c r="C51" s="3" t="s">
        <v>96</v>
      </c>
      <c r="D51" t="str">
        <f>INDEX(Products_T[ProductName],MATCH(C51,Products_T[SKU],0))</f>
        <v>Hypo Bleach 1L</v>
      </c>
      <c r="E51" t="str">
        <f>INDEX(Products_T[Category],MATCH(C51,Products_T[SKU],0))</f>
        <v>Household</v>
      </c>
      <c r="F51" t="str">
        <f>INDEX(Products_T[SupplierName],MATCH(C51,Products_T[SKU],0))</f>
        <v>Bulk Wholesale Co</v>
      </c>
      <c r="G51">
        <f t="shared" si="5"/>
        <v>119</v>
      </c>
      <c r="H51" s="3">
        <v>162</v>
      </c>
      <c r="I51" s="3">
        <v>192</v>
      </c>
      <c r="J51" s="3">
        <v>0</v>
      </c>
      <c r="K51" s="3">
        <v>0</v>
      </c>
      <c r="L51">
        <f t="shared" si="6"/>
        <v>89</v>
      </c>
      <c r="M51" s="10">
        <f>L51*INDEX(Products_T[UnitCost],MATCH(C51,Products_T[SKU],0))</f>
        <v>30260</v>
      </c>
      <c r="N51">
        <f>ROUND(INDEX(Products_T[AvgDailyUsage],MATCH(C51,Products_T[SKU],0))*(INDEX(Products_T[AvgLeadTime],MATCH(C51,Products_T[SKU],0))+INDEX(Products_T[LeadTimeRange],MATCH(C51,Products_T[SKU],0)))+INDEX(Products_T[SafetyStock],MATCH(C51,Products_T[SKU],0)),0)</f>
        <v>70</v>
      </c>
      <c r="O51" s="4">
        <f>IFERROR(L51/INDEX(Products_T[AvgDailyUsage],MATCH(C51,Products_T[SKU],0)),0)</f>
        <v>15.614035087719298</v>
      </c>
      <c r="P51" t="str">
        <f t="shared" si="7"/>
        <v>Healthy</v>
      </c>
      <c r="Q51" t="str">
        <f t="shared" si="8"/>
        <v>No</v>
      </c>
      <c r="R51">
        <f t="shared" si="9"/>
        <v>3</v>
      </c>
      <c r="S51" s="2">
        <f t="shared" si="10"/>
        <v>46081</v>
      </c>
      <c r="T51" s="12">
        <f>IFERROR(S51-_xlfn.MAXIFS(Transactions_T[Date],Transactions_T[SKU],C51,Transactions_T[Date],"&lt;="&amp;S51),"")</f>
        <v>11</v>
      </c>
    </row>
    <row r="52" spans="1:20" x14ac:dyDescent="0.25">
      <c r="A52" s="7">
        <v>46054</v>
      </c>
      <c r="B52" s="3" t="s">
        <v>30</v>
      </c>
      <c r="C52" s="3" t="s">
        <v>98</v>
      </c>
      <c r="D52" t="str">
        <f>INDEX(Products_T[ProductName],MATCH(C52,Products_T[SKU],0))</f>
        <v>Sunlight Dishwash Liquid</v>
      </c>
      <c r="E52" t="str">
        <f>INDEX(Products_T[Category],MATCH(C52,Products_T[SKU],0))</f>
        <v>Household</v>
      </c>
      <c r="F52" t="str">
        <f>INDEX(Products_T[SupplierName],MATCH(C52,Products_T[SKU],0))</f>
        <v>Premier Supplies Ltd</v>
      </c>
      <c r="G52">
        <f t="shared" si="5"/>
        <v>132</v>
      </c>
      <c r="H52" s="3">
        <v>135</v>
      </c>
      <c r="I52" s="3">
        <v>92</v>
      </c>
      <c r="J52" s="3">
        <v>15</v>
      </c>
      <c r="K52" s="3">
        <v>0</v>
      </c>
      <c r="L52">
        <f t="shared" si="6"/>
        <v>160</v>
      </c>
      <c r="M52" s="10">
        <f>L52*INDEX(Products_T[UnitCost],MATCH(C52,Products_T[SKU],0))</f>
        <v>65600</v>
      </c>
      <c r="N52">
        <f>ROUND(INDEX(Products_T[AvgDailyUsage],MATCH(C52,Products_T[SKU],0))*(INDEX(Products_T[AvgLeadTime],MATCH(C52,Products_T[SKU],0))+INDEX(Products_T[LeadTimeRange],MATCH(C52,Products_T[SKU],0)))+INDEX(Products_T[SafetyStock],MATCH(C52,Products_T[SKU],0)),0)</f>
        <v>61</v>
      </c>
      <c r="O52" s="4">
        <f>IFERROR(L52/INDEX(Products_T[AvgDailyUsage],MATCH(C52,Products_T[SKU],0)),0)</f>
        <v>40.712468193384225</v>
      </c>
      <c r="P52" t="str">
        <f t="shared" si="7"/>
        <v>Overstock</v>
      </c>
      <c r="Q52" t="str">
        <f t="shared" si="8"/>
        <v>No</v>
      </c>
      <c r="R52">
        <f t="shared" si="9"/>
        <v>4</v>
      </c>
      <c r="S52" s="2">
        <f t="shared" si="10"/>
        <v>46081</v>
      </c>
      <c r="T52" s="12">
        <f>IFERROR(S52-_xlfn.MAXIFS(Transactions_T[Date],Transactions_T[SKU],C52,Transactions_T[Date],"&lt;="&amp;S52),"")</f>
        <v>0</v>
      </c>
    </row>
    <row r="53" spans="1:20" x14ac:dyDescent="0.25">
      <c r="A53" s="7">
        <v>46054</v>
      </c>
      <c r="B53" s="3" t="s">
        <v>30</v>
      </c>
      <c r="C53" s="3" t="s">
        <v>100</v>
      </c>
      <c r="D53" t="str">
        <f>INDEX(Products_T[ProductName],MATCH(C53,Products_T[SKU],0))</f>
        <v>Ambipur Air Freshener</v>
      </c>
      <c r="E53" t="str">
        <f>INDEX(Products_T[Category],MATCH(C53,Products_T[SKU],0))</f>
        <v>Household</v>
      </c>
      <c r="F53" t="str">
        <f>INDEX(Products_T[SupplierName],MATCH(C53,Products_T[SKU],0))</f>
        <v>Local Sourcing Ltd</v>
      </c>
      <c r="G53">
        <f t="shared" si="5"/>
        <v>0</v>
      </c>
      <c r="H53" s="3">
        <v>142</v>
      </c>
      <c r="I53" s="3">
        <v>142</v>
      </c>
      <c r="J53" s="3">
        <v>0</v>
      </c>
      <c r="K53" s="3">
        <v>0</v>
      </c>
      <c r="L53">
        <f t="shared" si="6"/>
        <v>0</v>
      </c>
      <c r="M53" s="10">
        <f>L53*INDEX(Products_T[UnitCost],MATCH(C53,Products_T[SKU],0))</f>
        <v>0</v>
      </c>
      <c r="N53">
        <f>ROUND(INDEX(Products_T[AvgDailyUsage],MATCH(C53,Products_T[SKU],0))*(INDEX(Products_T[AvgLeadTime],MATCH(C53,Products_T[SKU],0))+INDEX(Products_T[LeadTimeRange],MATCH(C53,Products_T[SKU],0)))+INDEX(Products_T[SafetyStock],MATCH(C53,Products_T[SKU],0)),0)</f>
        <v>49</v>
      </c>
      <c r="O53" s="4">
        <f>IFERROR(L53/INDEX(Products_T[AvgDailyUsage],MATCH(C53,Products_T[SKU],0)),0)</f>
        <v>0</v>
      </c>
      <c r="P53" t="str">
        <f t="shared" si="7"/>
        <v>Out of Stock</v>
      </c>
      <c r="Q53" t="str">
        <f t="shared" si="8"/>
        <v>Yes</v>
      </c>
      <c r="R53">
        <f t="shared" si="9"/>
        <v>0</v>
      </c>
      <c r="S53" s="2">
        <f t="shared" si="10"/>
        <v>46081</v>
      </c>
      <c r="T53" s="12">
        <f>IFERROR(S53-_xlfn.MAXIFS(Transactions_T[Date],Transactions_T[SKU],C53,Transactions_T[Date],"&lt;="&amp;S53),"")</f>
        <v>11</v>
      </c>
    </row>
    <row r="54" spans="1:20" x14ac:dyDescent="0.25">
      <c r="A54" s="7">
        <v>46054</v>
      </c>
      <c r="B54" s="3" t="s">
        <v>30</v>
      </c>
      <c r="C54" s="3" t="s">
        <v>102</v>
      </c>
      <c r="D54" t="str">
        <f>INDEX(Products_T[ProductName],MATCH(C54,Products_T[SKU],0))</f>
        <v>Rubbermaid Storage Box</v>
      </c>
      <c r="E54" t="str">
        <f>INDEX(Products_T[Category],MATCH(C54,Products_T[SKU],0))</f>
        <v>Household</v>
      </c>
      <c r="F54" t="str">
        <f>INDEX(Products_T[SupplierName],MATCH(C54,Products_T[SKU],0))</f>
        <v>Quality Imports Ltd</v>
      </c>
      <c r="G54">
        <f t="shared" si="5"/>
        <v>281</v>
      </c>
      <c r="H54" s="3">
        <v>0</v>
      </c>
      <c r="I54" s="3">
        <v>0</v>
      </c>
      <c r="J54" s="3">
        <v>0</v>
      </c>
      <c r="K54" s="3">
        <v>0</v>
      </c>
      <c r="L54">
        <f t="shared" si="6"/>
        <v>281</v>
      </c>
      <c r="M54" s="10">
        <f>L54*INDEX(Products_T[UnitCost],MATCH(C54,Products_T[SKU],0))</f>
        <v>786800</v>
      </c>
      <c r="N54">
        <f>ROUND(INDEX(Products_T[AvgDailyUsage],MATCH(C54,Products_T[SKU],0))*(INDEX(Products_T[AvgLeadTime],MATCH(C54,Products_T[SKU],0))+INDEX(Products_T[LeadTimeRange],MATCH(C54,Products_T[SKU],0)))+INDEX(Products_T[SafetyStock],MATCH(C54,Products_T[SKU],0)),0)</f>
        <v>82</v>
      </c>
      <c r="O54" s="4">
        <f>IFERROR(L54/INDEX(Products_T[AvgDailyUsage],MATCH(C54,Products_T[SKU],0)),0)</f>
        <v>47.226890756302517</v>
      </c>
      <c r="P54" t="str">
        <f t="shared" si="7"/>
        <v>Overstock</v>
      </c>
      <c r="Q54" t="str">
        <f t="shared" si="8"/>
        <v>No</v>
      </c>
      <c r="R54">
        <f t="shared" si="9"/>
        <v>4</v>
      </c>
      <c r="S54" s="2">
        <f t="shared" si="10"/>
        <v>46081</v>
      </c>
      <c r="T54" s="12">
        <f>IFERROR(S54-_xlfn.MAXIFS(Transactions_T[Date],Transactions_T[SKU],C54,Transactions_T[Date],"&lt;="&amp;S54),"")</f>
        <v>42</v>
      </c>
    </row>
    <row r="55" spans="1:20" x14ac:dyDescent="0.25">
      <c r="A55" s="7">
        <v>46054</v>
      </c>
      <c r="B55" s="3" t="s">
        <v>30</v>
      </c>
      <c r="C55" s="3" t="s">
        <v>104</v>
      </c>
      <c r="D55" t="str">
        <f>INDEX(Products_T[ProductName],MATCH(C55,Products_T[SKU],0))</f>
        <v>USB-C Charging Cable</v>
      </c>
      <c r="E55" t="str">
        <f>INDEX(Products_T[Category],MATCH(C55,Products_T[SKU],0))</f>
        <v>Electronics Accessories</v>
      </c>
      <c r="F55" t="str">
        <f>INDEX(Products_T[SupplierName],MATCH(C55,Products_T[SKU],0))</f>
        <v>Quality Imports Ltd</v>
      </c>
      <c r="G55">
        <f t="shared" si="5"/>
        <v>25</v>
      </c>
      <c r="H55" s="3">
        <v>93</v>
      </c>
      <c r="I55" s="3">
        <v>62</v>
      </c>
      <c r="J55" s="3">
        <v>0</v>
      </c>
      <c r="K55" s="3">
        <v>0</v>
      </c>
      <c r="L55">
        <f t="shared" si="6"/>
        <v>56</v>
      </c>
      <c r="M55" s="10">
        <f>L55*INDEX(Products_T[UnitCost],MATCH(C55,Products_T[SKU],0))</f>
        <v>100800</v>
      </c>
      <c r="N55">
        <f>ROUND(INDEX(Products_T[AvgDailyUsage],MATCH(C55,Products_T[SKU],0))*(INDEX(Products_T[AvgLeadTime],MATCH(C55,Products_T[SKU],0))+INDEX(Products_T[LeadTimeRange],MATCH(C55,Products_T[SKU],0)))+INDEX(Products_T[SafetyStock],MATCH(C55,Products_T[SKU],0)),0)</f>
        <v>45</v>
      </c>
      <c r="O55" s="4">
        <f>IFERROR(L55/INDEX(Products_T[AvgDailyUsage],MATCH(C55,Products_T[SKU],0)),0)</f>
        <v>22.489959839357429</v>
      </c>
      <c r="P55" t="str">
        <f t="shared" si="7"/>
        <v>Healthy</v>
      </c>
      <c r="Q55" t="str">
        <f t="shared" si="8"/>
        <v>No</v>
      </c>
      <c r="R55">
        <f t="shared" si="9"/>
        <v>3</v>
      </c>
      <c r="S55" s="2">
        <f t="shared" si="10"/>
        <v>46081</v>
      </c>
      <c r="T55" s="12">
        <f>IFERROR(S55-_xlfn.MAXIFS(Transactions_T[Date],Transactions_T[SKU],C55,Transactions_T[Date],"&lt;="&amp;S55),"")</f>
        <v>8</v>
      </c>
    </row>
    <row r="56" spans="1:20" x14ac:dyDescent="0.25">
      <c r="A56" s="7">
        <v>46054</v>
      </c>
      <c r="B56" s="3" t="s">
        <v>30</v>
      </c>
      <c r="C56" s="3" t="s">
        <v>107</v>
      </c>
      <c r="D56" t="str">
        <f>INDEX(Products_T[ProductName],MATCH(C56,Products_T[SKU],0))</f>
        <v>Bluetooth Earbuds</v>
      </c>
      <c r="E56" t="str">
        <f>INDEX(Products_T[Category],MATCH(C56,Products_T[SKU],0))</f>
        <v>Electronics Accessories</v>
      </c>
      <c r="F56" t="str">
        <f>INDEX(Products_T[SupplierName],MATCH(C56,Products_T[SKU],0))</f>
        <v>Quality Imports Ltd</v>
      </c>
      <c r="G56">
        <f t="shared" si="5"/>
        <v>46</v>
      </c>
      <c r="H56" s="3">
        <v>55</v>
      </c>
      <c r="I56" s="3">
        <v>80</v>
      </c>
      <c r="J56" s="3">
        <v>0</v>
      </c>
      <c r="K56" s="3">
        <v>0</v>
      </c>
      <c r="L56">
        <f t="shared" si="6"/>
        <v>21</v>
      </c>
      <c r="M56" s="10">
        <f>L56*INDEX(Products_T[UnitCost],MATCH(C56,Products_T[SKU],0))</f>
        <v>178500</v>
      </c>
      <c r="N56">
        <f>ROUND(INDEX(Products_T[AvgDailyUsage],MATCH(C56,Products_T[SKU],0))*(INDEX(Products_T[AvgLeadTime],MATCH(C56,Products_T[SKU],0))+INDEX(Products_T[LeadTimeRange],MATCH(C56,Products_T[SKU],0)))+INDEX(Products_T[SafetyStock],MATCH(C56,Products_T[SKU],0)),0)</f>
        <v>37</v>
      </c>
      <c r="O56" s="4">
        <f>IFERROR(L56/INDEX(Products_T[AvgDailyUsage],MATCH(C56,Products_T[SKU],0)),0)</f>
        <v>9.2920353982300892</v>
      </c>
      <c r="P56" t="str">
        <f t="shared" si="7"/>
        <v>Reorder</v>
      </c>
      <c r="Q56" t="str">
        <f t="shared" si="8"/>
        <v>Yes</v>
      </c>
      <c r="R56">
        <f t="shared" si="9"/>
        <v>2</v>
      </c>
      <c r="S56" s="2">
        <f t="shared" si="10"/>
        <v>46081</v>
      </c>
      <c r="T56" s="12">
        <f>IFERROR(S56-_xlfn.MAXIFS(Transactions_T[Date],Transactions_T[SKU],C56,Transactions_T[Date],"&lt;="&amp;S56),"")</f>
        <v>1</v>
      </c>
    </row>
    <row r="57" spans="1:20" x14ac:dyDescent="0.25">
      <c r="A57" s="7">
        <v>46054</v>
      </c>
      <c r="B57" s="3" t="s">
        <v>30</v>
      </c>
      <c r="C57" s="3" t="s">
        <v>109</v>
      </c>
      <c r="D57" t="str">
        <f>INDEX(Products_T[ProductName],MATCH(C57,Products_T[SKU],0))</f>
        <v>HDMI Cable 1.5m</v>
      </c>
      <c r="E57" t="str">
        <f>INDEX(Products_T[Category],MATCH(C57,Products_T[SKU],0))</f>
        <v>Electronics Accessories</v>
      </c>
      <c r="F57" t="str">
        <f>INDEX(Products_T[SupplierName],MATCH(C57,Products_T[SKU],0))</f>
        <v>Quality Imports Ltd</v>
      </c>
      <c r="G57">
        <f t="shared" si="5"/>
        <v>73</v>
      </c>
      <c r="H57" s="3">
        <v>74</v>
      </c>
      <c r="I57" s="3">
        <v>90</v>
      </c>
      <c r="J57" s="3">
        <v>0</v>
      </c>
      <c r="K57" s="3">
        <v>0</v>
      </c>
      <c r="L57">
        <f t="shared" si="6"/>
        <v>57</v>
      </c>
      <c r="M57" s="10">
        <f>L57*INDEX(Products_T[UnitCost],MATCH(C57,Products_T[SKU],0))</f>
        <v>125400</v>
      </c>
      <c r="N57">
        <f>ROUND(INDEX(Products_T[AvgDailyUsage],MATCH(C57,Products_T[SKU],0))*(INDEX(Products_T[AvgLeadTime],MATCH(C57,Products_T[SKU],0))+INDEX(Products_T[LeadTimeRange],MATCH(C57,Products_T[SKU],0)))+INDEX(Products_T[SafetyStock],MATCH(C57,Products_T[SKU],0)),0)</f>
        <v>42</v>
      </c>
      <c r="O57" s="4">
        <f>IFERROR(L57/INDEX(Products_T[AvgDailyUsage],MATCH(C57,Products_T[SKU],0)),0)</f>
        <v>21.59090909090909</v>
      </c>
      <c r="P57" t="str">
        <f t="shared" si="7"/>
        <v>Healthy</v>
      </c>
      <c r="Q57" t="str">
        <f t="shared" si="8"/>
        <v>No</v>
      </c>
      <c r="R57">
        <f t="shared" si="9"/>
        <v>3</v>
      </c>
      <c r="S57" s="2">
        <f t="shared" si="10"/>
        <v>46081</v>
      </c>
      <c r="T57" s="12">
        <f>IFERROR(S57-_xlfn.MAXIFS(Transactions_T[Date],Transactions_T[SKU],C57,Transactions_T[Date],"&lt;="&amp;S57),"")</f>
        <v>5</v>
      </c>
    </row>
    <row r="58" spans="1:20" x14ac:dyDescent="0.25">
      <c r="A58" s="7">
        <v>46054</v>
      </c>
      <c r="B58" s="3" t="s">
        <v>30</v>
      </c>
      <c r="C58" s="3" t="s">
        <v>111</v>
      </c>
      <c r="D58" t="str">
        <f>INDEX(Products_T[ProductName],MATCH(C58,Products_T[SKU],0))</f>
        <v>Power Bank 10000mAh</v>
      </c>
      <c r="E58" t="str">
        <f>INDEX(Products_T[Category],MATCH(C58,Products_T[SKU],0))</f>
        <v>Electronics Accessories</v>
      </c>
      <c r="F58" t="str">
        <f>INDEX(Products_T[SupplierName],MATCH(C58,Products_T[SKU],0))</f>
        <v>Quality Imports Ltd</v>
      </c>
      <c r="G58">
        <f t="shared" si="5"/>
        <v>79</v>
      </c>
      <c r="H58" s="3">
        <v>86</v>
      </c>
      <c r="I58" s="3">
        <v>59</v>
      </c>
      <c r="J58" s="3">
        <v>0</v>
      </c>
      <c r="K58" s="3">
        <v>0</v>
      </c>
      <c r="L58">
        <f t="shared" si="6"/>
        <v>106</v>
      </c>
      <c r="M58" s="10">
        <f>L58*INDEX(Products_T[UnitCost],MATCH(C58,Products_T[SKU],0))</f>
        <v>657200</v>
      </c>
      <c r="N58">
        <f>ROUND(INDEX(Products_T[AvgDailyUsage],MATCH(C58,Products_T[SKU],0))*(INDEX(Products_T[AvgLeadTime],MATCH(C58,Products_T[SKU],0))+INDEX(Products_T[LeadTimeRange],MATCH(C58,Products_T[SKU],0)))+INDEX(Products_T[SafetyStock],MATCH(C58,Products_T[SKU],0)),0)</f>
        <v>37</v>
      </c>
      <c r="O58" s="4">
        <f>IFERROR(L58/INDEX(Products_T[AvgDailyUsage],MATCH(C58,Products_T[SKU],0)),0)</f>
        <v>47.111111111111114</v>
      </c>
      <c r="P58" t="str">
        <f t="shared" si="7"/>
        <v>Overstock</v>
      </c>
      <c r="Q58" t="str">
        <f t="shared" si="8"/>
        <v>No</v>
      </c>
      <c r="R58">
        <f t="shared" si="9"/>
        <v>4</v>
      </c>
      <c r="S58" s="2">
        <f t="shared" si="10"/>
        <v>46081</v>
      </c>
      <c r="T58" s="12">
        <f>IFERROR(S58-_xlfn.MAXIFS(Transactions_T[Date],Transactions_T[SKU],C58,Transactions_T[Date],"&lt;="&amp;S58),"")</f>
        <v>3</v>
      </c>
    </row>
    <row r="59" spans="1:20" x14ac:dyDescent="0.25">
      <c r="A59" s="7">
        <v>46054</v>
      </c>
      <c r="B59" s="3" t="s">
        <v>30</v>
      </c>
      <c r="C59" s="3" t="s">
        <v>113</v>
      </c>
      <c r="D59" t="str">
        <f>INDEX(Products_T[ProductName],MATCH(C59,Products_T[SKU],0))</f>
        <v>Phone Screen Protector</v>
      </c>
      <c r="E59" t="str">
        <f>INDEX(Products_T[Category],MATCH(C59,Products_T[SKU],0))</f>
        <v>Electronics Accessories</v>
      </c>
      <c r="F59" t="str">
        <f>INDEX(Products_T[SupplierName],MATCH(C59,Products_T[SKU],0))</f>
        <v>Quality Imports Ltd</v>
      </c>
      <c r="G59">
        <f t="shared" si="5"/>
        <v>74</v>
      </c>
      <c r="H59" s="3">
        <v>63</v>
      </c>
      <c r="I59" s="3">
        <v>43</v>
      </c>
      <c r="J59" s="3">
        <v>0</v>
      </c>
      <c r="K59" s="3">
        <v>0</v>
      </c>
      <c r="L59">
        <f t="shared" si="6"/>
        <v>94</v>
      </c>
      <c r="M59" s="10">
        <f>L59*INDEX(Products_T[UnitCost],MATCH(C59,Products_T[SKU],0))</f>
        <v>84600</v>
      </c>
      <c r="N59">
        <f>ROUND(INDEX(Products_T[AvgDailyUsage],MATCH(C59,Products_T[SKU],0))*(INDEX(Products_T[AvgLeadTime],MATCH(C59,Products_T[SKU],0))+INDEX(Products_T[LeadTimeRange],MATCH(C59,Products_T[SKU],0)))+INDEX(Products_T[SafetyStock],MATCH(C59,Products_T[SKU],0)),0)</f>
        <v>42</v>
      </c>
      <c r="O59" s="4">
        <f>IFERROR(L59/INDEX(Products_T[AvgDailyUsage],MATCH(C59,Products_T[SKU],0)),0)</f>
        <v>52.80898876404494</v>
      </c>
      <c r="P59" t="str">
        <f t="shared" si="7"/>
        <v>Overstock</v>
      </c>
      <c r="Q59" t="str">
        <f t="shared" si="8"/>
        <v>No</v>
      </c>
      <c r="R59">
        <f t="shared" si="9"/>
        <v>4</v>
      </c>
      <c r="S59" s="2">
        <f t="shared" si="10"/>
        <v>46081</v>
      </c>
      <c r="T59" s="12">
        <f>IFERROR(S59-_xlfn.MAXIFS(Transactions_T[Date],Transactions_T[SKU],C59,Transactions_T[Date],"&lt;="&amp;S59),"")</f>
        <v>2</v>
      </c>
    </row>
    <row r="60" spans="1:20" x14ac:dyDescent="0.25">
      <c r="A60" s="7">
        <v>46054</v>
      </c>
      <c r="B60" s="3" t="s">
        <v>30</v>
      </c>
      <c r="C60" s="3" t="s">
        <v>115</v>
      </c>
      <c r="D60" t="str">
        <f>INDEX(Products_T[ProductName],MATCH(C60,Products_T[SKU],0))</f>
        <v>Wireless Mouse</v>
      </c>
      <c r="E60" t="str">
        <f>INDEX(Products_T[Category],MATCH(C60,Products_T[SKU],0))</f>
        <v>Electronics Accessories</v>
      </c>
      <c r="F60" t="str">
        <f>INDEX(Products_T[SupplierName],MATCH(C60,Products_T[SKU],0))</f>
        <v>Quality Imports Ltd</v>
      </c>
      <c r="G60">
        <f t="shared" si="5"/>
        <v>0</v>
      </c>
      <c r="H60" s="3">
        <v>103</v>
      </c>
      <c r="I60" s="3">
        <v>69</v>
      </c>
      <c r="J60" s="3">
        <v>0</v>
      </c>
      <c r="K60" s="3">
        <v>0</v>
      </c>
      <c r="L60">
        <f t="shared" si="6"/>
        <v>34</v>
      </c>
      <c r="M60" s="10">
        <f>L60*INDEX(Products_T[UnitCost],MATCH(C60,Products_T[SKU],0))</f>
        <v>108800</v>
      </c>
      <c r="N60">
        <f>ROUND(INDEX(Products_T[AvgDailyUsage],MATCH(C60,Products_T[SKU],0))*(INDEX(Products_T[AvgLeadTime],MATCH(C60,Products_T[SKU],0))+INDEX(Products_T[LeadTimeRange],MATCH(C60,Products_T[SKU],0)))+INDEX(Products_T[SafetyStock],MATCH(C60,Products_T[SKU],0)),0)</f>
        <v>47</v>
      </c>
      <c r="O60" s="4">
        <f>IFERROR(L60/INDEX(Products_T[AvgDailyUsage],MATCH(C60,Products_T[SKU],0)),0)</f>
        <v>11.074918566775246</v>
      </c>
      <c r="P60" t="str">
        <f t="shared" si="7"/>
        <v>Reorder</v>
      </c>
      <c r="Q60" t="str">
        <f t="shared" si="8"/>
        <v>Yes</v>
      </c>
      <c r="R60">
        <f t="shared" si="9"/>
        <v>2</v>
      </c>
      <c r="S60" s="2">
        <f t="shared" si="10"/>
        <v>46081</v>
      </c>
      <c r="T60" s="12">
        <f>IFERROR(S60-_xlfn.MAXIFS(Transactions_T[Date],Transactions_T[SKU],C60,Transactions_T[Date],"&lt;="&amp;S60),"")</f>
        <v>10</v>
      </c>
    </row>
    <row r="61" spans="1:20" x14ac:dyDescent="0.25">
      <c r="A61" s="7">
        <v>46054</v>
      </c>
      <c r="B61" s="3" t="s">
        <v>30</v>
      </c>
      <c r="C61" s="3" t="s">
        <v>117</v>
      </c>
      <c r="D61" t="str">
        <f>INDEX(Products_T[ProductName],MATCH(C61,Products_T[SKU],0))</f>
        <v>Extension Socket 4-way</v>
      </c>
      <c r="E61" t="str">
        <f>INDEX(Products_T[Category],MATCH(C61,Products_T[SKU],0))</f>
        <v>Electronics Accessories</v>
      </c>
      <c r="F61" t="str">
        <f>INDEX(Products_T[SupplierName],MATCH(C61,Products_T[SKU],0))</f>
        <v>Quality Imports Ltd</v>
      </c>
      <c r="G61">
        <f t="shared" si="5"/>
        <v>61</v>
      </c>
      <c r="H61" s="3">
        <v>57</v>
      </c>
      <c r="I61" s="3">
        <v>39</v>
      </c>
      <c r="J61" s="3">
        <v>0</v>
      </c>
      <c r="K61" s="3">
        <v>0</v>
      </c>
      <c r="L61">
        <f t="shared" si="6"/>
        <v>79</v>
      </c>
      <c r="M61" s="10">
        <f>L61*INDEX(Products_T[UnitCost],MATCH(C61,Products_T[SKU],0))</f>
        <v>205400</v>
      </c>
      <c r="N61">
        <f>ROUND(INDEX(Products_T[AvgDailyUsage],MATCH(C61,Products_T[SKU],0))*(INDEX(Products_T[AvgLeadTime],MATCH(C61,Products_T[SKU],0))+INDEX(Products_T[LeadTimeRange],MATCH(C61,Products_T[SKU],0)))+INDEX(Products_T[SafetyStock],MATCH(C61,Products_T[SKU],0)),0)</f>
        <v>31</v>
      </c>
      <c r="O61" s="4">
        <f>IFERROR(L61/INDEX(Products_T[AvgDailyUsage],MATCH(C61,Products_T[SKU],0)),0)</f>
        <v>46.470588235294116</v>
      </c>
      <c r="P61" t="str">
        <f t="shared" si="7"/>
        <v>Overstock</v>
      </c>
      <c r="Q61" t="str">
        <f t="shared" si="8"/>
        <v>No</v>
      </c>
      <c r="R61">
        <f t="shared" si="9"/>
        <v>4</v>
      </c>
      <c r="S61" s="2">
        <f t="shared" si="10"/>
        <v>46081</v>
      </c>
      <c r="T61" s="12">
        <f>IFERROR(S61-_xlfn.MAXIFS(Transactions_T[Date],Transactions_T[SKU],C61,Transactions_T[Date],"&lt;="&amp;S61),"")</f>
        <v>12</v>
      </c>
    </row>
    <row r="62" spans="1:20" x14ac:dyDescent="0.25">
      <c r="A62" s="7">
        <v>46082</v>
      </c>
      <c r="B62" s="3" t="s">
        <v>31</v>
      </c>
      <c r="C62" s="3" t="s">
        <v>54</v>
      </c>
      <c r="D62" t="str">
        <f>INDEX(Products_T[ProductName],MATCH(C62,Products_T[SKU],0))</f>
        <v>Coca-Cola 1.5L</v>
      </c>
      <c r="E62" t="str">
        <f>INDEX(Products_T[Category],MATCH(C62,Products_T[SKU],0))</f>
        <v>Beverages</v>
      </c>
      <c r="F62" t="str">
        <f>INDEX(Products_T[SupplierName],MATCH(C62,Products_T[SKU],0))</f>
        <v>Global Distributors Ltd</v>
      </c>
      <c r="G62">
        <f t="shared" si="5"/>
        <v>278</v>
      </c>
      <c r="H62" s="3">
        <v>239</v>
      </c>
      <c r="I62" s="3">
        <v>168</v>
      </c>
      <c r="J62" s="3">
        <v>0</v>
      </c>
      <c r="K62" s="3">
        <v>0</v>
      </c>
      <c r="L62">
        <f t="shared" si="6"/>
        <v>349</v>
      </c>
      <c r="M62" s="10">
        <f>L62*INDEX(Products_T[UnitCost],MATCH(C62,Products_T[SKU],0))</f>
        <v>87250</v>
      </c>
      <c r="N62">
        <f>ROUND(INDEX(Products_T[AvgDailyUsage],MATCH(C62,Products_T[SKU],0))*(INDEX(Products_T[AvgLeadTime],MATCH(C62,Products_T[SKU],0))+INDEX(Products_T[LeadTimeRange],MATCH(C62,Products_T[SKU],0)))+INDEX(Products_T[SafetyStock],MATCH(C62,Products_T[SKU],0)),0)</f>
        <v>81</v>
      </c>
      <c r="O62" s="4">
        <f>IFERROR(L62/INDEX(Products_T[AvgDailyUsage],MATCH(C62,Products_T[SKU],0)),0)</f>
        <v>48.005502063273731</v>
      </c>
      <c r="P62" t="str">
        <f t="shared" si="7"/>
        <v>Overstock</v>
      </c>
      <c r="Q62" t="str">
        <f t="shared" si="8"/>
        <v>No</v>
      </c>
      <c r="R62">
        <f t="shared" si="9"/>
        <v>4</v>
      </c>
      <c r="S62" s="2">
        <f t="shared" si="10"/>
        <v>46112</v>
      </c>
      <c r="T62" s="12">
        <f>IFERROR(S62-_xlfn.MAXIFS(Transactions_T[Date],Transactions_T[SKU],C62,Transactions_T[Date],"&lt;="&amp;S62),"")</f>
        <v>14</v>
      </c>
    </row>
    <row r="63" spans="1:20" x14ac:dyDescent="0.25">
      <c r="A63" s="7">
        <v>46082</v>
      </c>
      <c r="B63" s="3" t="s">
        <v>31</v>
      </c>
      <c r="C63" s="3" t="s">
        <v>57</v>
      </c>
      <c r="D63" t="str">
        <f>INDEX(Products_T[ProductName],MATCH(C63,Products_T[SKU],0))</f>
        <v>Sprite 1.5L</v>
      </c>
      <c r="E63" t="str">
        <f>INDEX(Products_T[Category],MATCH(C63,Products_T[SKU],0))</f>
        <v>Beverages</v>
      </c>
      <c r="F63" t="str">
        <f>INDEX(Products_T[SupplierName],MATCH(C63,Products_T[SKU],0))</f>
        <v>Global Distributors Ltd</v>
      </c>
      <c r="G63">
        <f t="shared" si="5"/>
        <v>137</v>
      </c>
      <c r="H63" s="3">
        <v>261</v>
      </c>
      <c r="I63" s="3">
        <v>377</v>
      </c>
      <c r="J63" s="3">
        <v>0</v>
      </c>
      <c r="K63" s="3">
        <v>0</v>
      </c>
      <c r="L63">
        <f t="shared" si="6"/>
        <v>21</v>
      </c>
      <c r="M63" s="10">
        <f>L63*INDEX(Products_T[UnitCost],MATCH(C63,Products_T[SKU],0))</f>
        <v>5145</v>
      </c>
      <c r="N63">
        <f>ROUND(INDEX(Products_T[AvgDailyUsage],MATCH(C63,Products_T[SKU],0))*(INDEX(Products_T[AvgLeadTime],MATCH(C63,Products_T[SKU],0))+INDEX(Products_T[LeadTimeRange],MATCH(C63,Products_T[SKU],0)))+INDEX(Products_T[SafetyStock],MATCH(C63,Products_T[SKU],0)),0)</f>
        <v>109</v>
      </c>
      <c r="O63" s="4">
        <f>IFERROR(L63/INDEX(Products_T[AvgDailyUsage],MATCH(C63,Products_T[SKU],0)),0)</f>
        <v>1.9607843137254901</v>
      </c>
      <c r="P63" t="str">
        <f t="shared" si="7"/>
        <v>Critical</v>
      </c>
      <c r="Q63" t="str">
        <f t="shared" si="8"/>
        <v>Yes</v>
      </c>
      <c r="R63">
        <f t="shared" si="9"/>
        <v>1</v>
      </c>
      <c r="S63" s="2">
        <f t="shared" si="10"/>
        <v>46112</v>
      </c>
      <c r="T63" s="12">
        <f>IFERROR(S63-_xlfn.MAXIFS(Transactions_T[Date],Transactions_T[SKU],C63,Transactions_T[Date],"&lt;="&amp;S63),"")</f>
        <v>15</v>
      </c>
    </row>
    <row r="64" spans="1:20" x14ac:dyDescent="0.25">
      <c r="A64" s="7">
        <v>46082</v>
      </c>
      <c r="B64" s="3" t="s">
        <v>31</v>
      </c>
      <c r="C64" s="3" t="s">
        <v>59</v>
      </c>
      <c r="D64" t="str">
        <f>INDEX(Products_T[ProductName],MATCH(C64,Products_T[SKU],0))</f>
        <v>Fanta 1.5L</v>
      </c>
      <c r="E64" t="str">
        <f>INDEX(Products_T[Category],MATCH(C64,Products_T[SKU],0))</f>
        <v>Beverages</v>
      </c>
      <c r="F64" t="str">
        <f>INDEX(Products_T[SupplierName],MATCH(C64,Products_T[SKU],0))</f>
        <v>Quality Imports Ltd</v>
      </c>
      <c r="G64">
        <f t="shared" ref="G64:G95" si="11">L34</f>
        <v>132</v>
      </c>
      <c r="H64" s="3">
        <v>266</v>
      </c>
      <c r="I64" s="3">
        <v>379</v>
      </c>
      <c r="J64" s="3">
        <v>7</v>
      </c>
      <c r="K64" s="3">
        <v>0</v>
      </c>
      <c r="L64">
        <f t="shared" si="6"/>
        <v>12</v>
      </c>
      <c r="M64" s="10">
        <f>L64*INDEX(Products_T[UnitCost],MATCH(C64,Products_T[SKU],0))</f>
        <v>2880</v>
      </c>
      <c r="N64">
        <f>ROUND(INDEX(Products_T[AvgDailyUsage],MATCH(C64,Products_T[SKU],0))*(INDEX(Products_T[AvgLeadTime],MATCH(C64,Products_T[SKU],0))+INDEX(Products_T[LeadTimeRange],MATCH(C64,Products_T[SKU],0)))+INDEX(Products_T[SafetyStock],MATCH(C64,Products_T[SKU],0)),0)</f>
        <v>170</v>
      </c>
      <c r="O64" s="4">
        <f>IFERROR(L64/INDEX(Products_T[AvgDailyUsage],MATCH(C64,Products_T[SKU],0)),0)</f>
        <v>1.0407632263660018</v>
      </c>
      <c r="P64" t="str">
        <f t="shared" si="7"/>
        <v>Critical</v>
      </c>
      <c r="Q64" t="str">
        <f t="shared" si="8"/>
        <v>Yes</v>
      </c>
      <c r="R64">
        <f t="shared" si="9"/>
        <v>1</v>
      </c>
      <c r="S64" s="2">
        <f t="shared" si="10"/>
        <v>46112</v>
      </c>
      <c r="T64" s="12">
        <f>IFERROR(S64-_xlfn.MAXIFS(Transactions_T[Date],Transactions_T[SKU],C64,Transactions_T[Date],"&lt;="&amp;S64),"")</f>
        <v>9</v>
      </c>
    </row>
    <row r="65" spans="1:20" x14ac:dyDescent="0.25">
      <c r="A65" s="7">
        <v>46082</v>
      </c>
      <c r="B65" s="3" t="s">
        <v>31</v>
      </c>
      <c r="C65" s="3" t="s">
        <v>61</v>
      </c>
      <c r="D65" t="str">
        <f>INDEX(Products_T[ProductName],MATCH(C65,Products_T[SKU],0))</f>
        <v>Bottled Water 75cl</v>
      </c>
      <c r="E65" t="str">
        <f>INDEX(Products_T[Category],MATCH(C65,Products_T[SKU],0))</f>
        <v>Beverages</v>
      </c>
      <c r="F65" t="str">
        <f>INDEX(Products_T[SupplierName],MATCH(C65,Products_T[SKU],0))</f>
        <v>Bulk Wholesale Co</v>
      </c>
      <c r="G65">
        <f t="shared" si="11"/>
        <v>455</v>
      </c>
      <c r="H65" s="3">
        <v>207</v>
      </c>
      <c r="I65" s="3">
        <v>303</v>
      </c>
      <c r="J65" s="3">
        <v>0</v>
      </c>
      <c r="K65" s="3">
        <v>0</v>
      </c>
      <c r="L65">
        <f t="shared" si="6"/>
        <v>359</v>
      </c>
      <c r="M65" s="10">
        <f>L65*INDEX(Products_T[UnitCost],MATCH(C65,Products_T[SKU],0))</f>
        <v>35900</v>
      </c>
      <c r="N65">
        <f>ROUND(INDEX(Products_T[AvgDailyUsage],MATCH(C65,Products_T[SKU],0))*(INDEX(Products_T[AvgLeadTime],MATCH(C65,Products_T[SKU],0))+INDEX(Products_T[LeadTimeRange],MATCH(C65,Products_T[SKU],0)))+INDEX(Products_T[SafetyStock],MATCH(C65,Products_T[SKU],0)),0)</f>
        <v>95</v>
      </c>
      <c r="O65" s="4">
        <f>IFERROR(L65/INDEX(Products_T[AvgDailyUsage],MATCH(C65,Products_T[SKU],0)),0)</f>
        <v>46.084724005134788</v>
      </c>
      <c r="P65" t="str">
        <f t="shared" si="7"/>
        <v>Overstock</v>
      </c>
      <c r="Q65" t="str">
        <f t="shared" si="8"/>
        <v>No</v>
      </c>
      <c r="R65">
        <f t="shared" si="9"/>
        <v>4</v>
      </c>
      <c r="S65" s="2">
        <f t="shared" si="10"/>
        <v>46112</v>
      </c>
      <c r="T65" s="12">
        <f>IFERROR(S65-_xlfn.MAXIFS(Transactions_T[Date],Transactions_T[SKU],C65,Transactions_T[Date],"&lt;="&amp;S65),"")</f>
        <v>7</v>
      </c>
    </row>
    <row r="66" spans="1:20" x14ac:dyDescent="0.25">
      <c r="A66" s="7">
        <v>46082</v>
      </c>
      <c r="B66" s="3" t="s">
        <v>31</v>
      </c>
      <c r="C66" s="3" t="s">
        <v>63</v>
      </c>
      <c r="D66" t="str">
        <f>INDEX(Products_T[ProductName],MATCH(C66,Products_T[SKU],0))</f>
        <v>Malt Drink 33cl</v>
      </c>
      <c r="E66" t="str">
        <f>INDEX(Products_T[Category],MATCH(C66,Products_T[SKU],0))</f>
        <v>Beverages</v>
      </c>
      <c r="F66" t="str">
        <f>INDEX(Products_T[SupplierName],MATCH(C66,Products_T[SKU],0))</f>
        <v>Global Distributors Ltd</v>
      </c>
      <c r="G66">
        <f t="shared" si="11"/>
        <v>0</v>
      </c>
      <c r="H66" s="3">
        <v>336</v>
      </c>
      <c r="I66" s="3">
        <v>227</v>
      </c>
      <c r="J66" s="3">
        <v>0</v>
      </c>
      <c r="K66" s="3">
        <v>0</v>
      </c>
      <c r="L66">
        <f t="shared" ref="L66:L97" si="12">MAX(G66+H66-I66-J66+K66,0)</f>
        <v>109</v>
      </c>
      <c r="M66" s="10">
        <f>L66*INDEX(Products_T[UnitCost],MATCH(C66,Products_T[SKU],0))</f>
        <v>19620</v>
      </c>
      <c r="N66">
        <f>ROUND(INDEX(Products_T[AvgDailyUsage],MATCH(C66,Products_T[SKU],0))*(INDEX(Products_T[AvgLeadTime],MATCH(C66,Products_T[SKU],0))+INDEX(Products_T[LeadTimeRange],MATCH(C66,Products_T[SKU],0)))+INDEX(Products_T[SafetyStock],MATCH(C66,Products_T[SKU],0)),0)</f>
        <v>105</v>
      </c>
      <c r="O66" s="4">
        <f>IFERROR(L66/INDEX(Products_T[AvgDailyUsage],MATCH(C66,Products_T[SKU],0)),0)</f>
        <v>11.377870563674321</v>
      </c>
      <c r="P66" t="str">
        <f t="shared" ref="P66:P97" si="13">IF(L66=0,"Out of Stock",IF(L66&lt;0.5*N66,"Critical",IF(L66&lt;=N66,"Reorder",IF(L66&gt;2*N66,"Overstock","Healthy"))))</f>
        <v>Healthy</v>
      </c>
      <c r="Q66" t="str">
        <f t="shared" ref="Q66:Q97" si="14">IF(OR(P66="Out of Stock",P66="Critical",P66="Reorder"),"Yes","No")</f>
        <v>No</v>
      </c>
      <c r="R66">
        <f t="shared" ref="R66:R97" si="15">_xlfn.SWITCH(P66,"Out of Stock",0,"Critical",1,"Reorder",2,"Healthy",3,"Overstock",4,5)</f>
        <v>3</v>
      </c>
      <c r="S66" s="2">
        <f t="shared" ref="S66:S97" si="16">EOMONTH(A66,0)</f>
        <v>46112</v>
      </c>
      <c r="T66" s="12">
        <f>IFERROR(S66-_xlfn.MAXIFS(Transactions_T[Date],Transactions_T[SKU],C66,Transactions_T[Date],"&lt;="&amp;S66),"")</f>
        <v>14</v>
      </c>
    </row>
    <row r="67" spans="1:20" x14ac:dyDescent="0.25">
      <c r="A67" s="7">
        <v>46082</v>
      </c>
      <c r="B67" s="3" t="s">
        <v>31</v>
      </c>
      <c r="C67" s="3" t="s">
        <v>65</v>
      </c>
      <c r="D67" t="str">
        <f>INDEX(Products_T[ProductName],MATCH(C67,Products_T[SKU],0))</f>
        <v>Colgate Toothpaste 100ml</v>
      </c>
      <c r="E67" t="str">
        <f>INDEX(Products_T[Category],MATCH(C67,Products_T[SKU],0))</f>
        <v>Personal Care</v>
      </c>
      <c r="F67" t="str">
        <f>INDEX(Products_T[SupplierName],MATCH(C67,Products_T[SKU],0))</f>
        <v>Premier Supplies Ltd</v>
      </c>
      <c r="G67">
        <f t="shared" si="11"/>
        <v>239</v>
      </c>
      <c r="H67" s="3">
        <v>0</v>
      </c>
      <c r="I67" s="3">
        <v>0</v>
      </c>
      <c r="J67" s="3">
        <v>0</v>
      </c>
      <c r="K67" s="3">
        <v>0</v>
      </c>
      <c r="L67">
        <f t="shared" si="12"/>
        <v>239</v>
      </c>
      <c r="M67" s="10">
        <f>L67*INDEX(Products_T[UnitCost],MATCH(C67,Products_T[SKU],0))</f>
        <v>107550</v>
      </c>
      <c r="N67">
        <f>ROUND(INDEX(Products_T[AvgDailyUsage],MATCH(C67,Products_T[SKU],0))*(INDEX(Products_T[AvgLeadTime],MATCH(C67,Products_T[SKU],0))+INDEX(Products_T[LeadTimeRange],MATCH(C67,Products_T[SKU],0)))+INDEX(Products_T[SafetyStock],MATCH(C67,Products_T[SKU],0)),0)</f>
        <v>68</v>
      </c>
      <c r="O67" s="4">
        <f>IFERROR(L67/INDEX(Products_T[AvgDailyUsage],MATCH(C67,Products_T[SKU],0)),0)</f>
        <v>51.843817787418651</v>
      </c>
      <c r="P67" t="str">
        <f t="shared" si="13"/>
        <v>Overstock</v>
      </c>
      <c r="Q67" t="str">
        <f t="shared" si="14"/>
        <v>No</v>
      </c>
      <c r="R67">
        <f t="shared" si="15"/>
        <v>4</v>
      </c>
      <c r="S67" s="2">
        <f t="shared" si="16"/>
        <v>46112</v>
      </c>
      <c r="T67" s="12">
        <f>IFERROR(S67-_xlfn.MAXIFS(Transactions_T[Date],Transactions_T[SKU],C67,Transactions_T[Date],"&lt;="&amp;S67),"")</f>
        <v>44</v>
      </c>
    </row>
    <row r="68" spans="1:20" x14ac:dyDescent="0.25">
      <c r="A68" s="7">
        <v>46082</v>
      </c>
      <c r="B68" s="3" t="s">
        <v>31</v>
      </c>
      <c r="C68" s="3" t="s">
        <v>68</v>
      </c>
      <c r="D68" t="str">
        <f>INDEX(Products_T[ProductName],MATCH(C68,Products_T[SKU],0))</f>
        <v>Dettol Soap 100g</v>
      </c>
      <c r="E68" t="str">
        <f>INDEX(Products_T[Category],MATCH(C68,Products_T[SKU],0))</f>
        <v>Personal Care</v>
      </c>
      <c r="F68" t="str">
        <f>INDEX(Products_T[SupplierName],MATCH(C68,Products_T[SKU],0))</f>
        <v>Premier Supplies Ltd</v>
      </c>
      <c r="G68">
        <f t="shared" si="11"/>
        <v>135</v>
      </c>
      <c r="H68" s="3">
        <v>141</v>
      </c>
      <c r="I68" s="3">
        <v>180</v>
      </c>
      <c r="J68" s="3">
        <v>0</v>
      </c>
      <c r="K68" s="3">
        <v>0</v>
      </c>
      <c r="L68">
        <f t="shared" si="12"/>
        <v>96</v>
      </c>
      <c r="M68" s="10">
        <f>L68*INDEX(Products_T[UnitCost],MATCH(C68,Products_T[SKU],0))</f>
        <v>21120</v>
      </c>
      <c r="N68">
        <f>ROUND(INDEX(Products_T[AvgDailyUsage],MATCH(C68,Products_T[SKU],0))*(INDEX(Products_T[AvgLeadTime],MATCH(C68,Products_T[SKU],0))+INDEX(Products_T[LeadTimeRange],MATCH(C68,Products_T[SKU],0)))+INDEX(Products_T[SafetyStock],MATCH(C68,Products_T[SKU],0)),0)</f>
        <v>73</v>
      </c>
      <c r="O68" s="4">
        <f>IFERROR(L68/INDEX(Products_T[AvgDailyUsage],MATCH(C68,Products_T[SKU],0)),0)</f>
        <v>19.08548707753479</v>
      </c>
      <c r="P68" t="str">
        <f t="shared" si="13"/>
        <v>Healthy</v>
      </c>
      <c r="Q68" t="str">
        <f t="shared" si="14"/>
        <v>No</v>
      </c>
      <c r="R68">
        <f t="shared" si="15"/>
        <v>3</v>
      </c>
      <c r="S68" s="2">
        <f t="shared" si="16"/>
        <v>46112</v>
      </c>
      <c r="T68" s="12">
        <f>IFERROR(S68-_xlfn.MAXIFS(Transactions_T[Date],Transactions_T[SKU],C68,Transactions_T[Date],"&lt;="&amp;S68),"")</f>
        <v>13</v>
      </c>
    </row>
    <row r="69" spans="1:20" x14ac:dyDescent="0.25">
      <c r="A69" s="7">
        <v>46082</v>
      </c>
      <c r="B69" s="3" t="s">
        <v>31</v>
      </c>
      <c r="C69" s="3" t="s">
        <v>70</v>
      </c>
      <c r="D69" t="str">
        <f>INDEX(Products_T[ProductName],MATCH(C69,Products_T[SKU],0))</f>
        <v>Sunsilk Shampoo 200ml</v>
      </c>
      <c r="E69" t="str">
        <f>INDEX(Products_T[Category],MATCH(C69,Products_T[SKU],0))</f>
        <v>Personal Care</v>
      </c>
      <c r="F69" t="str">
        <f>INDEX(Products_T[SupplierName],MATCH(C69,Products_T[SKU],0))</f>
        <v>Premier Supplies Ltd</v>
      </c>
      <c r="G69">
        <f t="shared" si="11"/>
        <v>0</v>
      </c>
      <c r="H69" s="3">
        <v>263</v>
      </c>
      <c r="I69" s="3">
        <v>201</v>
      </c>
      <c r="J69" s="3">
        <v>0</v>
      </c>
      <c r="K69" s="3">
        <v>0</v>
      </c>
      <c r="L69">
        <f t="shared" si="12"/>
        <v>62</v>
      </c>
      <c r="M69" s="10">
        <f>L69*INDEX(Products_T[UnitCost],MATCH(C69,Products_T[SKU],0))</f>
        <v>34100</v>
      </c>
      <c r="N69">
        <f>ROUND(INDEX(Products_T[AvgDailyUsage],MATCH(C69,Products_T[SKU],0))*(INDEX(Products_T[AvgLeadTime],MATCH(C69,Products_T[SKU],0))+INDEX(Products_T[LeadTimeRange],MATCH(C69,Products_T[SKU],0)))+INDEX(Products_T[SafetyStock],MATCH(C69,Products_T[SKU],0)),0)</f>
        <v>108</v>
      </c>
      <c r="O69" s="4">
        <f>IFERROR(L69/INDEX(Products_T[AvgDailyUsage],MATCH(C69,Products_T[SKU],0)),0)</f>
        <v>7.7987421383647799</v>
      </c>
      <c r="P69" t="str">
        <f t="shared" si="13"/>
        <v>Reorder</v>
      </c>
      <c r="Q69" t="str">
        <f t="shared" si="14"/>
        <v>Yes</v>
      </c>
      <c r="R69">
        <f t="shared" si="15"/>
        <v>2</v>
      </c>
      <c r="S69" s="2">
        <f t="shared" si="16"/>
        <v>46112</v>
      </c>
      <c r="T69" s="12">
        <f>IFERROR(S69-_xlfn.MAXIFS(Transactions_T[Date],Transactions_T[SKU],C69,Transactions_T[Date],"&lt;="&amp;S69),"")</f>
        <v>9</v>
      </c>
    </row>
    <row r="70" spans="1:20" x14ac:dyDescent="0.25">
      <c r="A70" s="7">
        <v>46082</v>
      </c>
      <c r="B70" s="3" t="s">
        <v>31</v>
      </c>
      <c r="C70" s="3" t="s">
        <v>72</v>
      </c>
      <c r="D70" t="str">
        <f>INDEX(Products_T[ProductName],MATCH(C70,Products_T[SKU],0))</f>
        <v>Vaseline Lotion 400ml</v>
      </c>
      <c r="E70" t="str">
        <f>INDEX(Products_T[Category],MATCH(C70,Products_T[SKU],0))</f>
        <v>Personal Care</v>
      </c>
      <c r="F70" t="str">
        <f>INDEX(Products_T[SupplierName],MATCH(C70,Products_T[SKU],0))</f>
        <v>Local Sourcing Ltd</v>
      </c>
      <c r="G70">
        <f t="shared" si="11"/>
        <v>0</v>
      </c>
      <c r="H70" s="3">
        <v>321</v>
      </c>
      <c r="I70" s="3">
        <v>228</v>
      </c>
      <c r="J70" s="3">
        <v>0</v>
      </c>
      <c r="K70" s="3">
        <v>0</v>
      </c>
      <c r="L70">
        <f t="shared" si="12"/>
        <v>93</v>
      </c>
      <c r="M70" s="10">
        <f>L70*INDEX(Products_T[UnitCost],MATCH(C70,Products_T[SKU],0))</f>
        <v>57660</v>
      </c>
      <c r="N70">
        <f>ROUND(INDEX(Products_T[AvgDailyUsage],MATCH(C70,Products_T[SKU],0))*(INDEX(Products_T[AvgLeadTime],MATCH(C70,Products_T[SKU],0))+INDEX(Products_T[LeadTimeRange],MATCH(C70,Products_T[SKU],0)))+INDEX(Products_T[SafetyStock],MATCH(C70,Products_T[SKU],0)),0)</f>
        <v>67</v>
      </c>
      <c r="O70" s="4">
        <f>IFERROR(L70/INDEX(Products_T[AvgDailyUsage],MATCH(C70,Products_T[SKU],0)),0)</f>
        <v>10.652920962199312</v>
      </c>
      <c r="P70" t="str">
        <f t="shared" si="13"/>
        <v>Healthy</v>
      </c>
      <c r="Q70" t="str">
        <f t="shared" si="14"/>
        <v>No</v>
      </c>
      <c r="R70">
        <f t="shared" si="15"/>
        <v>3</v>
      </c>
      <c r="S70" s="2">
        <f t="shared" si="16"/>
        <v>46112</v>
      </c>
      <c r="T70" s="12">
        <f>IFERROR(S70-_xlfn.MAXIFS(Transactions_T[Date],Transactions_T[SKU],C70,Transactions_T[Date],"&lt;="&amp;S70),"")</f>
        <v>3</v>
      </c>
    </row>
    <row r="71" spans="1:20" x14ac:dyDescent="0.25">
      <c r="A71" s="7">
        <v>46082</v>
      </c>
      <c r="B71" s="3" t="s">
        <v>31</v>
      </c>
      <c r="C71" s="3" t="s">
        <v>74</v>
      </c>
      <c r="D71" t="str">
        <f>INDEX(Products_T[ProductName],MATCH(C71,Products_T[SKU],0))</f>
        <v>Always Sanitary Pads</v>
      </c>
      <c r="E71" t="str">
        <f>INDEX(Products_T[Category],MATCH(C71,Products_T[SKU],0))</f>
        <v>Personal Care</v>
      </c>
      <c r="F71" t="str">
        <f>INDEX(Products_T[SupplierName],MATCH(C71,Products_T[SKU],0))</f>
        <v>Premier Supplies Ltd</v>
      </c>
      <c r="G71">
        <f t="shared" si="11"/>
        <v>99</v>
      </c>
      <c r="H71" s="3">
        <v>146</v>
      </c>
      <c r="I71" s="3">
        <v>183</v>
      </c>
      <c r="J71" s="3">
        <v>0</v>
      </c>
      <c r="K71" s="3">
        <v>0</v>
      </c>
      <c r="L71">
        <f t="shared" si="12"/>
        <v>62</v>
      </c>
      <c r="M71" s="10">
        <f>L71*INDEX(Products_T[UnitCost],MATCH(C71,Products_T[SKU],0))</f>
        <v>23560</v>
      </c>
      <c r="N71">
        <f>ROUND(INDEX(Products_T[AvgDailyUsage],MATCH(C71,Products_T[SKU],0))*(INDEX(Products_T[AvgLeadTime],MATCH(C71,Products_T[SKU],0))+INDEX(Products_T[LeadTimeRange],MATCH(C71,Products_T[SKU],0)))+INDEX(Products_T[SafetyStock],MATCH(C71,Products_T[SKU],0)),0)</f>
        <v>75</v>
      </c>
      <c r="O71" s="4">
        <f>IFERROR(L71/INDEX(Products_T[AvgDailyUsage],MATCH(C71,Products_T[SKU],0)),0)</f>
        <v>11.923076923076923</v>
      </c>
      <c r="P71" t="str">
        <f t="shared" si="13"/>
        <v>Reorder</v>
      </c>
      <c r="Q71" t="str">
        <f t="shared" si="14"/>
        <v>Yes</v>
      </c>
      <c r="R71">
        <f t="shared" si="15"/>
        <v>2</v>
      </c>
      <c r="S71" s="2">
        <f t="shared" si="16"/>
        <v>46112</v>
      </c>
      <c r="T71" s="12">
        <f>IFERROR(S71-_xlfn.MAXIFS(Transactions_T[Date],Transactions_T[SKU],C71,Transactions_T[Date],"&lt;="&amp;S71),"")</f>
        <v>16</v>
      </c>
    </row>
    <row r="72" spans="1:20" x14ac:dyDescent="0.25">
      <c r="A72" s="7">
        <v>46082</v>
      </c>
      <c r="B72" s="3" t="s">
        <v>31</v>
      </c>
      <c r="C72" s="3" t="s">
        <v>76</v>
      </c>
      <c r="D72" t="str">
        <f>INDEX(Products_T[ProductName],MATCH(C72,Products_T[SKU],0))</f>
        <v>Indomie Noodles Carton</v>
      </c>
      <c r="E72" t="str">
        <f>INDEX(Products_T[Category],MATCH(C72,Products_T[SKU],0))</f>
        <v>Packaged Foods</v>
      </c>
      <c r="F72" t="str">
        <f>INDEX(Products_T[SupplierName],MATCH(C72,Products_T[SKU],0))</f>
        <v>Bulk Wholesale Co</v>
      </c>
      <c r="G72">
        <f t="shared" si="11"/>
        <v>68</v>
      </c>
      <c r="H72" s="3">
        <v>202</v>
      </c>
      <c r="I72" s="3">
        <v>270</v>
      </c>
      <c r="J72" s="3">
        <v>0</v>
      </c>
      <c r="K72" s="3">
        <v>0</v>
      </c>
      <c r="L72">
        <f t="shared" si="12"/>
        <v>0</v>
      </c>
      <c r="M72" s="10">
        <f>L72*INDEX(Products_T[UnitCost],MATCH(C72,Products_T[SKU],0))</f>
        <v>0</v>
      </c>
      <c r="N72">
        <f>ROUND(INDEX(Products_T[AvgDailyUsage],MATCH(C72,Products_T[SKU],0))*(INDEX(Products_T[AvgLeadTime],MATCH(C72,Products_T[SKU],0))+INDEX(Products_T[LeadTimeRange],MATCH(C72,Products_T[SKU],0)))+INDEX(Products_T[SafetyStock],MATCH(C72,Products_T[SKU],0)),0)</f>
        <v>69</v>
      </c>
      <c r="O72" s="4">
        <f>IFERROR(L72/INDEX(Products_T[AvgDailyUsage],MATCH(C72,Products_T[SKU],0)),0)</f>
        <v>0</v>
      </c>
      <c r="P72" t="str">
        <f t="shared" si="13"/>
        <v>Out of Stock</v>
      </c>
      <c r="Q72" t="str">
        <f t="shared" si="14"/>
        <v>Yes</v>
      </c>
      <c r="R72">
        <f t="shared" si="15"/>
        <v>0</v>
      </c>
      <c r="S72" s="2">
        <f t="shared" si="16"/>
        <v>46112</v>
      </c>
      <c r="T72" s="12">
        <f>IFERROR(S72-_xlfn.MAXIFS(Transactions_T[Date],Transactions_T[SKU],C72,Transactions_T[Date],"&lt;="&amp;S72),"")</f>
        <v>14</v>
      </c>
    </row>
    <row r="73" spans="1:20" x14ac:dyDescent="0.25">
      <c r="A73" s="7">
        <v>46082</v>
      </c>
      <c r="B73" s="3" t="s">
        <v>31</v>
      </c>
      <c r="C73" s="3" t="s">
        <v>79</v>
      </c>
      <c r="D73" t="str">
        <f>INDEX(Products_T[ProductName],MATCH(C73,Products_T[SKU],0))</f>
        <v>Golden Penny Semovita 1kg</v>
      </c>
      <c r="E73" t="str">
        <f>INDEX(Products_T[Category],MATCH(C73,Products_T[SKU],0))</f>
        <v>Packaged Foods</v>
      </c>
      <c r="F73" t="str">
        <f>INDEX(Products_T[SupplierName],MATCH(C73,Products_T[SKU],0))</f>
        <v>Bulk Wholesale Co</v>
      </c>
      <c r="G73">
        <f t="shared" si="11"/>
        <v>47</v>
      </c>
      <c r="H73" s="3">
        <v>234</v>
      </c>
      <c r="I73" s="3">
        <v>178</v>
      </c>
      <c r="J73" s="3">
        <v>0</v>
      </c>
      <c r="K73" s="3">
        <v>0</v>
      </c>
      <c r="L73">
        <f t="shared" si="12"/>
        <v>103</v>
      </c>
      <c r="M73" s="10">
        <f>L73*INDEX(Products_T[UnitCost],MATCH(C73,Products_T[SKU],0))</f>
        <v>87550</v>
      </c>
      <c r="N73">
        <f>ROUND(INDEX(Products_T[AvgDailyUsage],MATCH(C73,Products_T[SKU],0))*(INDEX(Products_T[AvgLeadTime],MATCH(C73,Products_T[SKU],0))+INDEX(Products_T[LeadTimeRange],MATCH(C73,Products_T[SKU],0)))+INDEX(Products_T[SafetyStock],MATCH(C73,Products_T[SKU],0)),0)</f>
        <v>69</v>
      </c>
      <c r="O73" s="4">
        <f>IFERROR(L73/INDEX(Products_T[AvgDailyUsage],MATCH(C73,Products_T[SKU],0)),0)</f>
        <v>14.65149359886202</v>
      </c>
      <c r="P73" t="str">
        <f t="shared" si="13"/>
        <v>Healthy</v>
      </c>
      <c r="Q73" t="str">
        <f t="shared" si="14"/>
        <v>No</v>
      </c>
      <c r="R73">
        <f t="shared" si="15"/>
        <v>3</v>
      </c>
      <c r="S73" s="2">
        <f t="shared" si="16"/>
        <v>46112</v>
      </c>
      <c r="T73" s="12">
        <f>IFERROR(S73-_xlfn.MAXIFS(Transactions_T[Date],Transactions_T[SKU],C73,Transactions_T[Date],"&lt;="&amp;S73),"")</f>
        <v>5</v>
      </c>
    </row>
    <row r="74" spans="1:20" x14ac:dyDescent="0.25">
      <c r="A74" s="7">
        <v>46082</v>
      </c>
      <c r="B74" s="3" t="s">
        <v>31</v>
      </c>
      <c r="C74" s="3" t="s">
        <v>81</v>
      </c>
      <c r="D74" t="str">
        <f>INDEX(Products_T[ProductName],MATCH(C74,Products_T[SKU],0))</f>
        <v>Peak Milk Tin 400g</v>
      </c>
      <c r="E74" t="str">
        <f>INDEX(Products_T[Category],MATCH(C74,Products_T[SKU],0))</f>
        <v>Packaged Foods</v>
      </c>
      <c r="F74" t="str">
        <f>INDEX(Products_T[SupplierName],MATCH(C74,Products_T[SKU],0))</f>
        <v>Global Distributors Ltd</v>
      </c>
      <c r="G74">
        <f t="shared" si="11"/>
        <v>289</v>
      </c>
      <c r="H74" s="3">
        <v>247</v>
      </c>
      <c r="I74" s="3">
        <v>202</v>
      </c>
      <c r="J74" s="3">
        <v>0</v>
      </c>
      <c r="K74" s="3">
        <v>0</v>
      </c>
      <c r="L74">
        <f t="shared" si="12"/>
        <v>334</v>
      </c>
      <c r="M74" s="10">
        <f>L74*INDEX(Products_T[UnitCost],MATCH(C74,Products_T[SKU],0))</f>
        <v>227120</v>
      </c>
      <c r="N74">
        <f>ROUND(INDEX(Products_T[AvgDailyUsage],MATCH(C74,Products_T[SKU],0))*(INDEX(Products_T[AvgLeadTime],MATCH(C74,Products_T[SKU],0))+INDEX(Products_T[LeadTimeRange],MATCH(C74,Products_T[SKU],0)))+INDEX(Products_T[SafetyStock],MATCH(C74,Products_T[SKU],0)),0)</f>
        <v>85</v>
      </c>
      <c r="O74" s="4">
        <f>IFERROR(L74/INDEX(Products_T[AvgDailyUsage],MATCH(C74,Products_T[SKU],0)),0)</f>
        <v>46.260387811634352</v>
      </c>
      <c r="P74" t="str">
        <f t="shared" si="13"/>
        <v>Overstock</v>
      </c>
      <c r="Q74" t="str">
        <f t="shared" si="14"/>
        <v>No</v>
      </c>
      <c r="R74">
        <f t="shared" si="15"/>
        <v>4</v>
      </c>
      <c r="S74" s="2">
        <f t="shared" si="16"/>
        <v>46112</v>
      </c>
      <c r="T74" s="12">
        <f>IFERROR(S74-_xlfn.MAXIFS(Transactions_T[Date],Transactions_T[SKU],C74,Transactions_T[Date],"&lt;="&amp;S74),"")</f>
        <v>16</v>
      </c>
    </row>
    <row r="75" spans="1:20" x14ac:dyDescent="0.25">
      <c r="A75" s="7">
        <v>46082</v>
      </c>
      <c r="B75" s="3" t="s">
        <v>31</v>
      </c>
      <c r="C75" s="3" t="s">
        <v>83</v>
      </c>
      <c r="D75" t="str">
        <f>INDEX(Products_T[ProductName],MATCH(C75,Products_T[SKU],0))</f>
        <v>Dangote Pasta 500g</v>
      </c>
      <c r="E75" t="str">
        <f>INDEX(Products_T[Category],MATCH(C75,Products_T[SKU],0))</f>
        <v>Packaged Foods</v>
      </c>
      <c r="F75" t="str">
        <f>INDEX(Products_T[SupplierName],MATCH(C75,Products_T[SKU],0))</f>
        <v>Bulk Wholesale Co</v>
      </c>
      <c r="G75">
        <f t="shared" si="11"/>
        <v>84</v>
      </c>
      <c r="H75" s="3">
        <v>159</v>
      </c>
      <c r="I75" s="3">
        <v>233</v>
      </c>
      <c r="J75" s="3">
        <v>0</v>
      </c>
      <c r="K75" s="3">
        <v>0</v>
      </c>
      <c r="L75">
        <f t="shared" si="12"/>
        <v>10</v>
      </c>
      <c r="M75" s="10">
        <f>L75*INDEX(Products_T[UnitCost],MATCH(C75,Products_T[SKU],0))</f>
        <v>3200</v>
      </c>
      <c r="N75">
        <f>ROUND(INDEX(Products_T[AvgDailyUsage],MATCH(C75,Products_T[SKU],0))*(INDEX(Products_T[AvgLeadTime],MATCH(C75,Products_T[SKU],0))+INDEX(Products_T[LeadTimeRange],MATCH(C75,Products_T[SKU],0)))+INDEX(Products_T[SafetyStock],MATCH(C75,Products_T[SKU],0)),0)</f>
        <v>78</v>
      </c>
      <c r="O75" s="4">
        <f>IFERROR(L75/INDEX(Products_T[AvgDailyUsage],MATCH(C75,Products_T[SKU],0)),0)</f>
        <v>1.4684287812041117</v>
      </c>
      <c r="P75" t="str">
        <f t="shared" si="13"/>
        <v>Critical</v>
      </c>
      <c r="Q75" t="str">
        <f t="shared" si="14"/>
        <v>Yes</v>
      </c>
      <c r="R75">
        <f t="shared" si="15"/>
        <v>1</v>
      </c>
      <c r="S75" s="2">
        <f t="shared" si="16"/>
        <v>46112</v>
      </c>
      <c r="T75" s="12">
        <f>IFERROR(S75-_xlfn.MAXIFS(Transactions_T[Date],Transactions_T[SKU],C75,Transactions_T[Date],"&lt;="&amp;S75),"")</f>
        <v>12</v>
      </c>
    </row>
    <row r="76" spans="1:20" x14ac:dyDescent="0.25">
      <c r="A76" s="7">
        <v>46082</v>
      </c>
      <c r="B76" s="3" t="s">
        <v>31</v>
      </c>
      <c r="C76" s="3" t="s">
        <v>85</v>
      </c>
      <c r="D76" t="str">
        <f>INDEX(Products_T[ProductName],MATCH(C76,Products_T[SKU],0))</f>
        <v>Kings Vegetable Oil 1L</v>
      </c>
      <c r="E76" t="str">
        <f>INDEX(Products_T[Category],MATCH(C76,Products_T[SKU],0))</f>
        <v>Packaged Foods</v>
      </c>
      <c r="F76" t="str">
        <f>INDEX(Products_T[SupplierName],MATCH(C76,Products_T[SKU],0))</f>
        <v>Global Distributors Ltd</v>
      </c>
      <c r="G76">
        <f t="shared" si="11"/>
        <v>17</v>
      </c>
      <c r="H76" s="3">
        <v>88</v>
      </c>
      <c r="I76" s="3">
        <v>105</v>
      </c>
      <c r="J76" s="3">
        <v>0</v>
      </c>
      <c r="K76" s="3">
        <v>0</v>
      </c>
      <c r="L76">
        <f t="shared" si="12"/>
        <v>0</v>
      </c>
      <c r="M76" s="10">
        <f>L76*INDEX(Products_T[UnitCost],MATCH(C76,Products_T[SKU],0))</f>
        <v>0</v>
      </c>
      <c r="N76">
        <f>ROUND(INDEX(Products_T[AvgDailyUsage],MATCH(C76,Products_T[SKU],0))*(INDEX(Products_T[AvgLeadTime],MATCH(C76,Products_T[SKU],0))+INDEX(Products_T[LeadTimeRange],MATCH(C76,Products_T[SKU],0)))+INDEX(Products_T[SafetyStock],MATCH(C76,Products_T[SKU],0)),0)</f>
        <v>46</v>
      </c>
      <c r="O76" s="4">
        <f>IFERROR(L76/INDEX(Products_T[AvgDailyUsage],MATCH(C76,Products_T[SKU],0)),0)</f>
        <v>0</v>
      </c>
      <c r="P76" t="str">
        <f t="shared" si="13"/>
        <v>Out of Stock</v>
      </c>
      <c r="Q76" t="str">
        <f t="shared" si="14"/>
        <v>Yes</v>
      </c>
      <c r="R76">
        <f t="shared" si="15"/>
        <v>0</v>
      </c>
      <c r="S76" s="2">
        <f t="shared" si="16"/>
        <v>46112</v>
      </c>
      <c r="T76" s="12">
        <f>IFERROR(S76-_xlfn.MAXIFS(Transactions_T[Date],Transactions_T[SKU],C76,Transactions_T[Date],"&lt;="&amp;S76),"")</f>
        <v>12</v>
      </c>
    </row>
    <row r="77" spans="1:20" x14ac:dyDescent="0.25">
      <c r="A77" s="7">
        <v>46082</v>
      </c>
      <c r="B77" s="3" t="s">
        <v>31</v>
      </c>
      <c r="C77" s="3" t="s">
        <v>87</v>
      </c>
      <c r="D77" t="str">
        <f>INDEX(Products_T[ProductName],MATCH(C77,Products_T[SKU],0))</f>
        <v>Titus Sardine Tin</v>
      </c>
      <c r="E77" t="str">
        <f>INDEX(Products_T[Category],MATCH(C77,Products_T[SKU],0))</f>
        <v>Packaged Foods</v>
      </c>
      <c r="F77" t="str">
        <f>INDEX(Products_T[SupplierName],MATCH(C77,Products_T[SKU],0))</f>
        <v>Bulk Wholesale Co</v>
      </c>
      <c r="G77">
        <f t="shared" si="11"/>
        <v>62</v>
      </c>
      <c r="H77" s="3">
        <v>183</v>
      </c>
      <c r="I77" s="3">
        <v>150</v>
      </c>
      <c r="J77" s="3">
        <v>0</v>
      </c>
      <c r="K77" s="3">
        <v>0</v>
      </c>
      <c r="L77">
        <f t="shared" si="12"/>
        <v>95</v>
      </c>
      <c r="M77" s="10">
        <f>L77*INDEX(Products_T[UnitCost],MATCH(C77,Products_T[SKU],0))</f>
        <v>55100</v>
      </c>
      <c r="N77">
        <f>ROUND(INDEX(Products_T[AvgDailyUsage],MATCH(C77,Products_T[SKU],0))*(INDEX(Products_T[AvgLeadTime],MATCH(C77,Products_T[SKU],0))+INDEX(Products_T[LeadTimeRange],MATCH(C77,Products_T[SKU],0)))+INDEX(Products_T[SafetyStock],MATCH(C77,Products_T[SKU],0)),0)</f>
        <v>52</v>
      </c>
      <c r="O77" s="4">
        <f>IFERROR(L77/INDEX(Products_T[AvgDailyUsage],MATCH(C77,Products_T[SKU],0)),0)</f>
        <v>17.958412098298677</v>
      </c>
      <c r="P77" t="str">
        <f t="shared" si="13"/>
        <v>Healthy</v>
      </c>
      <c r="Q77" t="str">
        <f t="shared" si="14"/>
        <v>No</v>
      </c>
      <c r="R77">
        <f t="shared" si="15"/>
        <v>3</v>
      </c>
      <c r="S77" s="2">
        <f t="shared" si="16"/>
        <v>46112</v>
      </c>
      <c r="T77" s="12">
        <f>IFERROR(S77-_xlfn.MAXIFS(Transactions_T[Date],Transactions_T[SKU],C77,Transactions_T[Date],"&lt;="&amp;S77),"")</f>
        <v>3</v>
      </c>
    </row>
    <row r="78" spans="1:20" x14ac:dyDescent="0.25">
      <c r="A78" s="7">
        <v>46082</v>
      </c>
      <c r="B78" s="3" t="s">
        <v>31</v>
      </c>
      <c r="C78" s="3" t="s">
        <v>89</v>
      </c>
      <c r="D78" t="str">
        <f>INDEX(Products_T[ProductName],MATCH(C78,Products_T[SKU],0))</f>
        <v>Nasco Cornflakes 500g</v>
      </c>
      <c r="E78" t="str">
        <f>INDEX(Products_T[Category],MATCH(C78,Products_T[SKU],0))</f>
        <v>Packaged Foods</v>
      </c>
      <c r="F78" t="str">
        <f>INDEX(Products_T[SupplierName],MATCH(C78,Products_T[SKU],0))</f>
        <v>Quality Imports Ltd</v>
      </c>
      <c r="G78">
        <f t="shared" si="11"/>
        <v>234</v>
      </c>
      <c r="H78" s="3">
        <v>136</v>
      </c>
      <c r="I78" s="3">
        <v>199</v>
      </c>
      <c r="J78" s="3">
        <v>9</v>
      </c>
      <c r="K78" s="3">
        <v>0</v>
      </c>
      <c r="L78">
        <f t="shared" si="12"/>
        <v>162</v>
      </c>
      <c r="M78" s="10">
        <f>L78*INDEX(Products_T[UnitCost],MATCH(C78,Products_T[SKU],0))</f>
        <v>153900</v>
      </c>
      <c r="N78">
        <f>ROUND(INDEX(Products_T[AvgDailyUsage],MATCH(C78,Products_T[SKU],0))*(INDEX(Products_T[AvgLeadTime],MATCH(C78,Products_T[SKU],0))+INDEX(Products_T[LeadTimeRange],MATCH(C78,Products_T[SKU],0)))+INDEX(Products_T[SafetyStock],MATCH(C78,Products_T[SKU],0)),0)</f>
        <v>85</v>
      </c>
      <c r="O78" s="4">
        <f>IFERROR(L78/INDEX(Products_T[AvgDailyUsage],MATCH(C78,Products_T[SKU],0)),0)</f>
        <v>30.223880597014922</v>
      </c>
      <c r="P78" t="str">
        <f t="shared" si="13"/>
        <v>Healthy</v>
      </c>
      <c r="Q78" t="str">
        <f t="shared" si="14"/>
        <v>No</v>
      </c>
      <c r="R78">
        <f t="shared" si="15"/>
        <v>3</v>
      </c>
      <c r="S78" s="2">
        <f t="shared" si="16"/>
        <v>46112</v>
      </c>
      <c r="T78" s="12">
        <f>IFERROR(S78-_xlfn.MAXIFS(Transactions_T[Date],Transactions_T[SKU],C78,Transactions_T[Date],"&lt;="&amp;S78),"")</f>
        <v>4</v>
      </c>
    </row>
    <row r="79" spans="1:20" x14ac:dyDescent="0.25">
      <c r="A79" s="7">
        <v>46082</v>
      </c>
      <c r="B79" s="3" t="s">
        <v>31</v>
      </c>
      <c r="C79" s="3" t="s">
        <v>91</v>
      </c>
      <c r="D79" t="str">
        <f>INDEX(Products_T[ProductName],MATCH(C79,Products_T[SKU],0))</f>
        <v>Omo Detergent 900g</v>
      </c>
      <c r="E79" t="str">
        <f>INDEX(Products_T[Category],MATCH(C79,Products_T[SKU],0))</f>
        <v>Household</v>
      </c>
      <c r="F79" t="str">
        <f>INDEX(Products_T[SupplierName],MATCH(C79,Products_T[SKU],0))</f>
        <v>Premier Supplies Ltd</v>
      </c>
      <c r="G79">
        <f t="shared" si="11"/>
        <v>138</v>
      </c>
      <c r="H79" s="3">
        <v>153</v>
      </c>
      <c r="I79" s="3">
        <v>225</v>
      </c>
      <c r="J79" s="3">
        <v>0</v>
      </c>
      <c r="K79" s="3">
        <v>0</v>
      </c>
      <c r="L79">
        <f t="shared" si="12"/>
        <v>66</v>
      </c>
      <c r="M79" s="10">
        <f>L79*INDEX(Products_T[UnitCost],MATCH(C79,Products_T[SKU],0))</f>
        <v>44880</v>
      </c>
      <c r="N79">
        <f>ROUND(INDEX(Products_T[AvgDailyUsage],MATCH(C79,Products_T[SKU],0))*(INDEX(Products_T[AvgLeadTime],MATCH(C79,Products_T[SKU],0))+INDEX(Products_T[LeadTimeRange],MATCH(C79,Products_T[SKU],0)))+INDEX(Products_T[SafetyStock],MATCH(C79,Products_T[SKU],0)),0)</f>
        <v>81</v>
      </c>
      <c r="O79" s="4">
        <f>IFERROR(L79/INDEX(Products_T[AvgDailyUsage],MATCH(C79,Products_T[SKU],0)),0)</f>
        <v>11.379310344827587</v>
      </c>
      <c r="P79" t="str">
        <f t="shared" si="13"/>
        <v>Reorder</v>
      </c>
      <c r="Q79" t="str">
        <f t="shared" si="14"/>
        <v>Yes</v>
      </c>
      <c r="R79">
        <f t="shared" si="15"/>
        <v>2</v>
      </c>
      <c r="S79" s="2">
        <f t="shared" si="16"/>
        <v>46112</v>
      </c>
      <c r="T79" s="12">
        <f>IFERROR(S79-_xlfn.MAXIFS(Transactions_T[Date],Transactions_T[SKU],C79,Transactions_T[Date],"&lt;="&amp;S79),"")</f>
        <v>4</v>
      </c>
    </row>
    <row r="80" spans="1:20" x14ac:dyDescent="0.25">
      <c r="A80" s="7">
        <v>46082</v>
      </c>
      <c r="B80" s="3" t="s">
        <v>31</v>
      </c>
      <c r="C80" s="3" t="s">
        <v>94</v>
      </c>
      <c r="D80" t="str">
        <f>INDEX(Products_T[ProductName],MATCH(C80,Products_T[SKU],0))</f>
        <v>Harpic Toilet Cleaner</v>
      </c>
      <c r="E80" t="str">
        <f>INDEX(Products_T[Category],MATCH(C80,Products_T[SKU],0))</f>
        <v>Household</v>
      </c>
      <c r="F80" t="str">
        <f>INDEX(Products_T[SupplierName],MATCH(C80,Products_T[SKU],0))</f>
        <v>Bulk Wholesale Co</v>
      </c>
      <c r="G80">
        <f t="shared" si="11"/>
        <v>0</v>
      </c>
      <c r="H80" s="3">
        <v>194</v>
      </c>
      <c r="I80" s="3">
        <v>117</v>
      </c>
      <c r="J80" s="3">
        <v>0</v>
      </c>
      <c r="K80" s="3">
        <v>0</v>
      </c>
      <c r="L80">
        <f t="shared" si="12"/>
        <v>77</v>
      </c>
      <c r="M80" s="10">
        <f>L80*INDEX(Products_T[UnitCost],MATCH(C80,Products_T[SKU],0))</f>
        <v>40040</v>
      </c>
      <c r="N80">
        <f>ROUND(INDEX(Products_T[AvgDailyUsage],MATCH(C80,Products_T[SKU],0))*(INDEX(Products_T[AvgLeadTime],MATCH(C80,Products_T[SKU],0))+INDEX(Products_T[LeadTimeRange],MATCH(C80,Products_T[SKU],0)))+INDEX(Products_T[SafetyStock],MATCH(C80,Products_T[SKU],0)),0)</f>
        <v>56</v>
      </c>
      <c r="O80" s="4">
        <f>IFERROR(L80/INDEX(Products_T[AvgDailyUsage],MATCH(C80,Products_T[SKU],0)),0)</f>
        <v>15.098039215686276</v>
      </c>
      <c r="P80" t="str">
        <f t="shared" si="13"/>
        <v>Healthy</v>
      </c>
      <c r="Q80" t="str">
        <f t="shared" si="14"/>
        <v>No</v>
      </c>
      <c r="R80">
        <f t="shared" si="15"/>
        <v>3</v>
      </c>
      <c r="S80" s="2">
        <f t="shared" si="16"/>
        <v>46112</v>
      </c>
      <c r="T80" s="12">
        <f>IFERROR(S80-_xlfn.MAXIFS(Transactions_T[Date],Transactions_T[SKU],C80,Transactions_T[Date],"&lt;="&amp;S80),"")</f>
        <v>16</v>
      </c>
    </row>
    <row r="81" spans="1:20" x14ac:dyDescent="0.25">
      <c r="A81" s="7">
        <v>46082</v>
      </c>
      <c r="B81" s="3" t="s">
        <v>31</v>
      </c>
      <c r="C81" s="3" t="s">
        <v>96</v>
      </c>
      <c r="D81" t="str">
        <f>INDEX(Products_T[ProductName],MATCH(C81,Products_T[SKU],0))</f>
        <v>Hypo Bleach 1L</v>
      </c>
      <c r="E81" t="str">
        <f>INDEX(Products_T[Category],MATCH(C81,Products_T[SKU],0))</f>
        <v>Household</v>
      </c>
      <c r="F81" t="str">
        <f>INDEX(Products_T[SupplierName],MATCH(C81,Products_T[SKU],0))</f>
        <v>Bulk Wholesale Co</v>
      </c>
      <c r="G81">
        <f t="shared" si="11"/>
        <v>89</v>
      </c>
      <c r="H81" s="3">
        <v>144</v>
      </c>
      <c r="I81" s="3">
        <v>185</v>
      </c>
      <c r="J81" s="3">
        <v>0</v>
      </c>
      <c r="K81" s="3">
        <v>0</v>
      </c>
      <c r="L81">
        <f t="shared" si="12"/>
        <v>48</v>
      </c>
      <c r="M81" s="10">
        <f>L81*INDEX(Products_T[UnitCost],MATCH(C81,Products_T[SKU],0))</f>
        <v>16320</v>
      </c>
      <c r="N81">
        <f>ROUND(INDEX(Products_T[AvgDailyUsage],MATCH(C81,Products_T[SKU],0))*(INDEX(Products_T[AvgLeadTime],MATCH(C81,Products_T[SKU],0))+INDEX(Products_T[LeadTimeRange],MATCH(C81,Products_T[SKU],0)))+INDEX(Products_T[SafetyStock],MATCH(C81,Products_T[SKU],0)),0)</f>
        <v>70</v>
      </c>
      <c r="O81" s="4">
        <f>IFERROR(L81/INDEX(Products_T[AvgDailyUsage],MATCH(C81,Products_T[SKU],0)),0)</f>
        <v>8.4210526315789469</v>
      </c>
      <c r="P81" t="str">
        <f t="shared" si="13"/>
        <v>Reorder</v>
      </c>
      <c r="Q81" t="str">
        <f t="shared" si="14"/>
        <v>Yes</v>
      </c>
      <c r="R81">
        <f t="shared" si="15"/>
        <v>2</v>
      </c>
      <c r="S81" s="2">
        <f t="shared" si="16"/>
        <v>46112</v>
      </c>
      <c r="T81" s="12">
        <f>IFERROR(S81-_xlfn.MAXIFS(Transactions_T[Date],Transactions_T[SKU],C81,Transactions_T[Date],"&lt;="&amp;S81),"")</f>
        <v>3</v>
      </c>
    </row>
    <row r="82" spans="1:20" x14ac:dyDescent="0.25">
      <c r="A82" s="7">
        <v>46082</v>
      </c>
      <c r="B82" s="3" t="s">
        <v>31</v>
      </c>
      <c r="C82" s="3" t="s">
        <v>98</v>
      </c>
      <c r="D82" t="str">
        <f>INDEX(Products_T[ProductName],MATCH(C82,Products_T[SKU],0))</f>
        <v>Sunlight Dishwash Liquid</v>
      </c>
      <c r="E82" t="str">
        <f>INDEX(Products_T[Category],MATCH(C82,Products_T[SKU],0))</f>
        <v>Household</v>
      </c>
      <c r="F82" t="str">
        <f>INDEX(Products_T[SupplierName],MATCH(C82,Products_T[SKU],0))</f>
        <v>Premier Supplies Ltd</v>
      </c>
      <c r="G82">
        <f t="shared" si="11"/>
        <v>160</v>
      </c>
      <c r="H82" s="3">
        <v>136</v>
      </c>
      <c r="I82" s="3">
        <v>96</v>
      </c>
      <c r="J82" s="3">
        <v>0</v>
      </c>
      <c r="K82" s="3">
        <v>0</v>
      </c>
      <c r="L82">
        <f t="shared" si="12"/>
        <v>200</v>
      </c>
      <c r="M82" s="10">
        <f>L82*INDEX(Products_T[UnitCost],MATCH(C82,Products_T[SKU],0))</f>
        <v>82000</v>
      </c>
      <c r="N82">
        <f>ROUND(INDEX(Products_T[AvgDailyUsage],MATCH(C82,Products_T[SKU],0))*(INDEX(Products_T[AvgLeadTime],MATCH(C82,Products_T[SKU],0))+INDEX(Products_T[LeadTimeRange],MATCH(C82,Products_T[SKU],0)))+INDEX(Products_T[SafetyStock],MATCH(C82,Products_T[SKU],0)),0)</f>
        <v>61</v>
      </c>
      <c r="O82" s="4">
        <f>IFERROR(L82/INDEX(Products_T[AvgDailyUsage],MATCH(C82,Products_T[SKU],0)),0)</f>
        <v>50.890585241730278</v>
      </c>
      <c r="P82" t="str">
        <f t="shared" si="13"/>
        <v>Overstock</v>
      </c>
      <c r="Q82" t="str">
        <f t="shared" si="14"/>
        <v>No</v>
      </c>
      <c r="R82">
        <f t="shared" si="15"/>
        <v>4</v>
      </c>
      <c r="S82" s="2">
        <f t="shared" si="16"/>
        <v>46112</v>
      </c>
      <c r="T82" s="12">
        <f>IFERROR(S82-_xlfn.MAXIFS(Transactions_T[Date],Transactions_T[SKU],C82,Transactions_T[Date],"&lt;="&amp;S82),"")</f>
        <v>3</v>
      </c>
    </row>
    <row r="83" spans="1:20" x14ac:dyDescent="0.25">
      <c r="A83" s="7">
        <v>46082</v>
      </c>
      <c r="B83" s="3" t="s">
        <v>31</v>
      </c>
      <c r="C83" s="3" t="s">
        <v>100</v>
      </c>
      <c r="D83" t="str">
        <f>INDEX(Products_T[ProductName],MATCH(C83,Products_T[SKU],0))</f>
        <v>Ambipur Air Freshener</v>
      </c>
      <c r="E83" t="str">
        <f>INDEX(Products_T[Category],MATCH(C83,Products_T[SKU],0))</f>
        <v>Household</v>
      </c>
      <c r="F83" t="str">
        <f>INDEX(Products_T[SupplierName],MATCH(C83,Products_T[SKU],0))</f>
        <v>Local Sourcing Ltd</v>
      </c>
      <c r="G83">
        <f t="shared" si="11"/>
        <v>0</v>
      </c>
      <c r="H83" s="3">
        <v>211</v>
      </c>
      <c r="I83" s="3">
        <v>141</v>
      </c>
      <c r="J83" s="3">
        <v>0</v>
      </c>
      <c r="K83" s="3">
        <v>0</v>
      </c>
      <c r="L83">
        <f t="shared" si="12"/>
        <v>70</v>
      </c>
      <c r="M83" s="10">
        <f>L83*INDEX(Products_T[UnitCost],MATCH(C83,Products_T[SKU],0))</f>
        <v>52500</v>
      </c>
      <c r="N83">
        <f>ROUND(INDEX(Products_T[AvgDailyUsage],MATCH(C83,Products_T[SKU],0))*(INDEX(Products_T[AvgLeadTime],MATCH(C83,Products_T[SKU],0))+INDEX(Products_T[LeadTimeRange],MATCH(C83,Products_T[SKU],0)))+INDEX(Products_T[SafetyStock],MATCH(C83,Products_T[SKU],0)),0)</f>
        <v>49</v>
      </c>
      <c r="O83" s="4">
        <f>IFERROR(L83/INDEX(Products_T[AvgDailyUsage],MATCH(C83,Products_T[SKU],0)),0)</f>
        <v>12.389380530973451</v>
      </c>
      <c r="P83" t="str">
        <f t="shared" si="13"/>
        <v>Healthy</v>
      </c>
      <c r="Q83" t="str">
        <f t="shared" si="14"/>
        <v>No</v>
      </c>
      <c r="R83">
        <f t="shared" si="15"/>
        <v>3</v>
      </c>
      <c r="S83" s="2">
        <f t="shared" si="16"/>
        <v>46112</v>
      </c>
      <c r="T83" s="12">
        <f>IFERROR(S83-_xlfn.MAXIFS(Transactions_T[Date],Transactions_T[SKU],C83,Transactions_T[Date],"&lt;="&amp;S83),"")</f>
        <v>9</v>
      </c>
    </row>
    <row r="84" spans="1:20" x14ac:dyDescent="0.25">
      <c r="A84" s="7">
        <v>46082</v>
      </c>
      <c r="B84" s="3" t="s">
        <v>31</v>
      </c>
      <c r="C84" s="3" t="s">
        <v>102</v>
      </c>
      <c r="D84" t="str">
        <f>INDEX(Products_T[ProductName],MATCH(C84,Products_T[SKU],0))</f>
        <v>Rubbermaid Storage Box</v>
      </c>
      <c r="E84" t="str">
        <f>INDEX(Products_T[Category],MATCH(C84,Products_T[SKU],0))</f>
        <v>Household</v>
      </c>
      <c r="F84" t="str">
        <f>INDEX(Products_T[SupplierName],MATCH(C84,Products_T[SKU],0))</f>
        <v>Quality Imports Ltd</v>
      </c>
      <c r="G84">
        <f t="shared" si="11"/>
        <v>281</v>
      </c>
      <c r="H84" s="3">
        <v>0</v>
      </c>
      <c r="I84" s="3">
        <v>0</v>
      </c>
      <c r="J84" s="3">
        <v>0</v>
      </c>
      <c r="K84" s="3">
        <v>0</v>
      </c>
      <c r="L84">
        <f t="shared" si="12"/>
        <v>281</v>
      </c>
      <c r="M84" s="10">
        <f>L84*INDEX(Products_T[UnitCost],MATCH(C84,Products_T[SKU],0))</f>
        <v>786800</v>
      </c>
      <c r="N84">
        <f>ROUND(INDEX(Products_T[AvgDailyUsage],MATCH(C84,Products_T[SKU],0))*(INDEX(Products_T[AvgLeadTime],MATCH(C84,Products_T[SKU],0))+INDEX(Products_T[LeadTimeRange],MATCH(C84,Products_T[SKU],0)))+INDEX(Products_T[SafetyStock],MATCH(C84,Products_T[SKU],0)),0)</f>
        <v>82</v>
      </c>
      <c r="O84" s="4">
        <f>IFERROR(L84/INDEX(Products_T[AvgDailyUsage],MATCH(C84,Products_T[SKU],0)),0)</f>
        <v>47.226890756302517</v>
      </c>
      <c r="P84" t="str">
        <f t="shared" si="13"/>
        <v>Overstock</v>
      </c>
      <c r="Q84" t="str">
        <f t="shared" si="14"/>
        <v>No</v>
      </c>
      <c r="R84">
        <f t="shared" si="15"/>
        <v>4</v>
      </c>
      <c r="S84" s="2">
        <f t="shared" si="16"/>
        <v>46112</v>
      </c>
      <c r="T84" s="12">
        <f>IFERROR(S84-_xlfn.MAXIFS(Transactions_T[Date],Transactions_T[SKU],C84,Transactions_T[Date],"&lt;="&amp;S84),"")</f>
        <v>73</v>
      </c>
    </row>
    <row r="85" spans="1:20" x14ac:dyDescent="0.25">
      <c r="A85" s="7">
        <v>46082</v>
      </c>
      <c r="B85" s="3" t="s">
        <v>31</v>
      </c>
      <c r="C85" s="3" t="s">
        <v>104</v>
      </c>
      <c r="D85" t="str">
        <f>INDEX(Products_T[ProductName],MATCH(C85,Products_T[SKU],0))</f>
        <v>USB-C Charging Cable</v>
      </c>
      <c r="E85" t="str">
        <f>INDEX(Products_T[Category],MATCH(C85,Products_T[SKU],0))</f>
        <v>Electronics Accessories</v>
      </c>
      <c r="F85" t="str">
        <f>INDEX(Products_T[SupplierName],MATCH(C85,Products_T[SKU],0))</f>
        <v>Quality Imports Ltd</v>
      </c>
      <c r="G85">
        <f t="shared" si="11"/>
        <v>56</v>
      </c>
      <c r="H85" s="3">
        <v>59</v>
      </c>
      <c r="I85" s="3">
        <v>85</v>
      </c>
      <c r="J85" s="3">
        <v>0</v>
      </c>
      <c r="K85" s="3">
        <v>0</v>
      </c>
      <c r="L85">
        <f t="shared" si="12"/>
        <v>30</v>
      </c>
      <c r="M85" s="10">
        <f>L85*INDEX(Products_T[UnitCost],MATCH(C85,Products_T[SKU],0))</f>
        <v>54000</v>
      </c>
      <c r="N85">
        <f>ROUND(INDEX(Products_T[AvgDailyUsage],MATCH(C85,Products_T[SKU],0))*(INDEX(Products_T[AvgLeadTime],MATCH(C85,Products_T[SKU],0))+INDEX(Products_T[LeadTimeRange],MATCH(C85,Products_T[SKU],0)))+INDEX(Products_T[SafetyStock],MATCH(C85,Products_T[SKU],0)),0)</f>
        <v>45</v>
      </c>
      <c r="O85" s="4">
        <f>IFERROR(L85/INDEX(Products_T[AvgDailyUsage],MATCH(C85,Products_T[SKU],0)),0)</f>
        <v>12.048192771084336</v>
      </c>
      <c r="P85" t="str">
        <f t="shared" si="13"/>
        <v>Reorder</v>
      </c>
      <c r="Q85" t="str">
        <f t="shared" si="14"/>
        <v>Yes</v>
      </c>
      <c r="R85">
        <f t="shared" si="15"/>
        <v>2</v>
      </c>
      <c r="S85" s="2">
        <f t="shared" si="16"/>
        <v>46112</v>
      </c>
      <c r="T85" s="12">
        <f>IFERROR(S85-_xlfn.MAXIFS(Transactions_T[Date],Transactions_T[SKU],C85,Transactions_T[Date],"&lt;="&amp;S85),"")</f>
        <v>9</v>
      </c>
    </row>
    <row r="86" spans="1:20" x14ac:dyDescent="0.25">
      <c r="A86" s="7">
        <v>46082</v>
      </c>
      <c r="B86" s="3" t="s">
        <v>31</v>
      </c>
      <c r="C86" s="3" t="s">
        <v>107</v>
      </c>
      <c r="D86" t="str">
        <f>INDEX(Products_T[ProductName],MATCH(C86,Products_T[SKU],0))</f>
        <v>Bluetooth Earbuds</v>
      </c>
      <c r="E86" t="str">
        <f>INDEX(Products_T[Category],MATCH(C86,Products_T[SKU],0))</f>
        <v>Electronics Accessories</v>
      </c>
      <c r="F86" t="str">
        <f>INDEX(Products_T[SupplierName],MATCH(C86,Products_T[SKU],0))</f>
        <v>Quality Imports Ltd</v>
      </c>
      <c r="G86">
        <f t="shared" si="11"/>
        <v>21</v>
      </c>
      <c r="H86" s="3">
        <v>53</v>
      </c>
      <c r="I86" s="3">
        <v>74</v>
      </c>
      <c r="J86" s="3">
        <v>0</v>
      </c>
      <c r="K86" s="3">
        <v>0</v>
      </c>
      <c r="L86">
        <f t="shared" si="12"/>
        <v>0</v>
      </c>
      <c r="M86" s="10">
        <f>L86*INDEX(Products_T[UnitCost],MATCH(C86,Products_T[SKU],0))</f>
        <v>0</v>
      </c>
      <c r="N86">
        <f>ROUND(INDEX(Products_T[AvgDailyUsage],MATCH(C86,Products_T[SKU],0))*(INDEX(Products_T[AvgLeadTime],MATCH(C86,Products_T[SKU],0))+INDEX(Products_T[LeadTimeRange],MATCH(C86,Products_T[SKU],0)))+INDEX(Products_T[SafetyStock],MATCH(C86,Products_T[SKU],0)),0)</f>
        <v>37</v>
      </c>
      <c r="O86" s="4">
        <f>IFERROR(L86/INDEX(Products_T[AvgDailyUsage],MATCH(C86,Products_T[SKU],0)),0)</f>
        <v>0</v>
      </c>
      <c r="P86" t="str">
        <f t="shared" si="13"/>
        <v>Out of Stock</v>
      </c>
      <c r="Q86" t="str">
        <f t="shared" si="14"/>
        <v>Yes</v>
      </c>
      <c r="R86">
        <f t="shared" si="15"/>
        <v>0</v>
      </c>
      <c r="S86" s="2">
        <f t="shared" si="16"/>
        <v>46112</v>
      </c>
      <c r="T86" s="12">
        <f>IFERROR(S86-_xlfn.MAXIFS(Transactions_T[Date],Transactions_T[SKU],C86,Transactions_T[Date],"&lt;="&amp;S86),"")</f>
        <v>13</v>
      </c>
    </row>
    <row r="87" spans="1:20" x14ac:dyDescent="0.25">
      <c r="A87" s="7">
        <v>46082</v>
      </c>
      <c r="B87" s="3" t="s">
        <v>31</v>
      </c>
      <c r="C87" s="3" t="s">
        <v>109</v>
      </c>
      <c r="D87" t="str">
        <f>INDEX(Products_T[ProductName],MATCH(C87,Products_T[SKU],0))</f>
        <v>HDMI Cable 1.5m</v>
      </c>
      <c r="E87" t="str">
        <f>INDEX(Products_T[Category],MATCH(C87,Products_T[SKU],0))</f>
        <v>Electronics Accessories</v>
      </c>
      <c r="F87" t="str">
        <f>INDEX(Products_T[SupplierName],MATCH(C87,Products_T[SKU],0))</f>
        <v>Quality Imports Ltd</v>
      </c>
      <c r="G87">
        <f t="shared" si="11"/>
        <v>57</v>
      </c>
      <c r="H87" s="3">
        <v>61</v>
      </c>
      <c r="I87" s="3">
        <v>91</v>
      </c>
      <c r="J87" s="3">
        <v>0</v>
      </c>
      <c r="K87" s="3">
        <v>0</v>
      </c>
      <c r="L87">
        <f t="shared" si="12"/>
        <v>27</v>
      </c>
      <c r="M87" s="10">
        <f>L87*INDEX(Products_T[UnitCost],MATCH(C87,Products_T[SKU],0))</f>
        <v>59400</v>
      </c>
      <c r="N87">
        <f>ROUND(INDEX(Products_T[AvgDailyUsage],MATCH(C87,Products_T[SKU],0))*(INDEX(Products_T[AvgLeadTime],MATCH(C87,Products_T[SKU],0))+INDEX(Products_T[LeadTimeRange],MATCH(C87,Products_T[SKU],0)))+INDEX(Products_T[SafetyStock],MATCH(C87,Products_T[SKU],0)),0)</f>
        <v>42</v>
      </c>
      <c r="O87" s="4">
        <f>IFERROR(L87/INDEX(Products_T[AvgDailyUsage],MATCH(C87,Products_T[SKU],0)),0)</f>
        <v>10.227272727272727</v>
      </c>
      <c r="P87" t="str">
        <f t="shared" si="13"/>
        <v>Reorder</v>
      </c>
      <c r="Q87" t="str">
        <f t="shared" si="14"/>
        <v>Yes</v>
      </c>
      <c r="R87">
        <f t="shared" si="15"/>
        <v>2</v>
      </c>
      <c r="S87" s="2">
        <f t="shared" si="16"/>
        <v>46112</v>
      </c>
      <c r="T87" s="12">
        <f>IFERROR(S87-_xlfn.MAXIFS(Transactions_T[Date],Transactions_T[SKU],C87,Transactions_T[Date],"&lt;="&amp;S87),"")</f>
        <v>9</v>
      </c>
    </row>
    <row r="88" spans="1:20" x14ac:dyDescent="0.25">
      <c r="A88" s="7">
        <v>46082</v>
      </c>
      <c r="B88" s="3" t="s">
        <v>31</v>
      </c>
      <c r="C88" s="3" t="s">
        <v>111</v>
      </c>
      <c r="D88" t="str">
        <f>INDEX(Products_T[ProductName],MATCH(C88,Products_T[SKU],0))</f>
        <v>Power Bank 10000mAh</v>
      </c>
      <c r="E88" t="str">
        <f>INDEX(Products_T[Category],MATCH(C88,Products_T[SKU],0))</f>
        <v>Electronics Accessories</v>
      </c>
      <c r="F88" t="str">
        <f>INDEX(Products_T[SupplierName],MATCH(C88,Products_T[SKU],0))</f>
        <v>Quality Imports Ltd</v>
      </c>
      <c r="G88">
        <f t="shared" si="11"/>
        <v>106</v>
      </c>
      <c r="H88" s="3">
        <v>76</v>
      </c>
      <c r="I88" s="3">
        <v>56</v>
      </c>
      <c r="J88" s="3">
        <v>0</v>
      </c>
      <c r="K88" s="3">
        <v>0</v>
      </c>
      <c r="L88">
        <f t="shared" si="12"/>
        <v>126</v>
      </c>
      <c r="M88" s="10">
        <f>L88*INDEX(Products_T[UnitCost],MATCH(C88,Products_T[SKU],0))</f>
        <v>781200</v>
      </c>
      <c r="N88">
        <f>ROUND(INDEX(Products_T[AvgDailyUsage],MATCH(C88,Products_T[SKU],0))*(INDEX(Products_T[AvgLeadTime],MATCH(C88,Products_T[SKU],0))+INDEX(Products_T[LeadTimeRange],MATCH(C88,Products_T[SKU],0)))+INDEX(Products_T[SafetyStock],MATCH(C88,Products_T[SKU],0)),0)</f>
        <v>37</v>
      </c>
      <c r="O88" s="4">
        <f>IFERROR(L88/INDEX(Products_T[AvgDailyUsage],MATCH(C88,Products_T[SKU],0)),0)</f>
        <v>56</v>
      </c>
      <c r="P88" t="str">
        <f t="shared" si="13"/>
        <v>Overstock</v>
      </c>
      <c r="Q88" t="str">
        <f t="shared" si="14"/>
        <v>No</v>
      </c>
      <c r="R88">
        <f t="shared" si="15"/>
        <v>4</v>
      </c>
      <c r="S88" s="2">
        <f t="shared" si="16"/>
        <v>46112</v>
      </c>
      <c r="T88" s="12">
        <f>IFERROR(S88-_xlfn.MAXIFS(Transactions_T[Date],Transactions_T[SKU],C88,Transactions_T[Date],"&lt;="&amp;S88),"")</f>
        <v>13</v>
      </c>
    </row>
    <row r="89" spans="1:20" x14ac:dyDescent="0.25">
      <c r="A89" s="7">
        <v>46082</v>
      </c>
      <c r="B89" s="3" t="s">
        <v>31</v>
      </c>
      <c r="C89" s="3" t="s">
        <v>113</v>
      </c>
      <c r="D89" t="str">
        <f>INDEX(Products_T[ProductName],MATCH(C89,Products_T[SKU],0))</f>
        <v>Phone Screen Protector</v>
      </c>
      <c r="E89" t="str">
        <f>INDEX(Products_T[Category],MATCH(C89,Products_T[SKU],0))</f>
        <v>Electronics Accessories</v>
      </c>
      <c r="F89" t="str">
        <f>INDEX(Products_T[SupplierName],MATCH(C89,Products_T[SKU],0))</f>
        <v>Quality Imports Ltd</v>
      </c>
      <c r="G89">
        <f t="shared" si="11"/>
        <v>94</v>
      </c>
      <c r="H89" s="3">
        <v>65</v>
      </c>
      <c r="I89" s="3">
        <v>47</v>
      </c>
      <c r="J89" s="3">
        <v>0</v>
      </c>
      <c r="K89" s="3">
        <v>0</v>
      </c>
      <c r="L89">
        <f t="shared" si="12"/>
        <v>112</v>
      </c>
      <c r="M89" s="10">
        <f>L89*INDEX(Products_T[UnitCost],MATCH(C89,Products_T[SKU],0))</f>
        <v>100800</v>
      </c>
      <c r="N89">
        <f>ROUND(INDEX(Products_T[AvgDailyUsage],MATCH(C89,Products_T[SKU],0))*(INDEX(Products_T[AvgLeadTime],MATCH(C89,Products_T[SKU],0))+INDEX(Products_T[LeadTimeRange],MATCH(C89,Products_T[SKU],0)))+INDEX(Products_T[SafetyStock],MATCH(C89,Products_T[SKU],0)),0)</f>
        <v>42</v>
      </c>
      <c r="O89" s="4">
        <f>IFERROR(L89/INDEX(Products_T[AvgDailyUsage],MATCH(C89,Products_T[SKU],0)),0)</f>
        <v>62.921348314606739</v>
      </c>
      <c r="P89" t="str">
        <f t="shared" si="13"/>
        <v>Overstock</v>
      </c>
      <c r="Q89" t="str">
        <f t="shared" si="14"/>
        <v>No</v>
      </c>
      <c r="R89">
        <f t="shared" si="15"/>
        <v>4</v>
      </c>
      <c r="S89" s="2">
        <f t="shared" si="16"/>
        <v>46112</v>
      </c>
      <c r="T89" s="12">
        <f>IFERROR(S89-_xlfn.MAXIFS(Transactions_T[Date],Transactions_T[SKU],C89,Transactions_T[Date],"&lt;="&amp;S89),"")</f>
        <v>15</v>
      </c>
    </row>
    <row r="90" spans="1:20" x14ac:dyDescent="0.25">
      <c r="A90" s="7">
        <v>46082</v>
      </c>
      <c r="B90" s="3" t="s">
        <v>31</v>
      </c>
      <c r="C90" s="3" t="s">
        <v>115</v>
      </c>
      <c r="D90" t="str">
        <f>INDEX(Products_T[ProductName],MATCH(C90,Products_T[SKU],0))</f>
        <v>Wireless Mouse</v>
      </c>
      <c r="E90" t="str">
        <f>INDEX(Products_T[Category],MATCH(C90,Products_T[SKU],0))</f>
        <v>Electronics Accessories</v>
      </c>
      <c r="F90" t="str">
        <f>INDEX(Products_T[SupplierName],MATCH(C90,Products_T[SKU],0))</f>
        <v>Quality Imports Ltd</v>
      </c>
      <c r="G90">
        <f t="shared" si="11"/>
        <v>34</v>
      </c>
      <c r="H90" s="3">
        <v>107</v>
      </c>
      <c r="I90" s="3">
        <v>87</v>
      </c>
      <c r="J90" s="3">
        <v>0</v>
      </c>
      <c r="K90" s="3">
        <v>0</v>
      </c>
      <c r="L90">
        <f t="shared" si="12"/>
        <v>54</v>
      </c>
      <c r="M90" s="10">
        <f>L90*INDEX(Products_T[UnitCost],MATCH(C90,Products_T[SKU],0))</f>
        <v>172800</v>
      </c>
      <c r="N90">
        <f>ROUND(INDEX(Products_T[AvgDailyUsage],MATCH(C90,Products_T[SKU],0))*(INDEX(Products_T[AvgLeadTime],MATCH(C90,Products_T[SKU],0))+INDEX(Products_T[LeadTimeRange],MATCH(C90,Products_T[SKU],0)))+INDEX(Products_T[SafetyStock],MATCH(C90,Products_T[SKU],0)),0)</f>
        <v>47</v>
      </c>
      <c r="O90" s="4">
        <f>IFERROR(L90/INDEX(Products_T[AvgDailyUsage],MATCH(C90,Products_T[SKU],0)),0)</f>
        <v>17.589576547231271</v>
      </c>
      <c r="P90" t="str">
        <f t="shared" si="13"/>
        <v>Healthy</v>
      </c>
      <c r="Q90" t="str">
        <f t="shared" si="14"/>
        <v>No</v>
      </c>
      <c r="R90">
        <f t="shared" si="15"/>
        <v>3</v>
      </c>
      <c r="S90" s="2">
        <f t="shared" si="16"/>
        <v>46112</v>
      </c>
      <c r="T90" s="12">
        <f>IFERROR(S90-_xlfn.MAXIFS(Transactions_T[Date],Transactions_T[SKU],C90,Transactions_T[Date],"&lt;="&amp;S90),"")</f>
        <v>11</v>
      </c>
    </row>
    <row r="91" spans="1:20" x14ac:dyDescent="0.25">
      <c r="A91" s="7">
        <v>46082</v>
      </c>
      <c r="B91" s="3" t="s">
        <v>31</v>
      </c>
      <c r="C91" s="3" t="s">
        <v>117</v>
      </c>
      <c r="D91" t="str">
        <f>INDEX(Products_T[ProductName],MATCH(C91,Products_T[SKU],0))</f>
        <v>Extension Socket 4-way</v>
      </c>
      <c r="E91" t="str">
        <f>INDEX(Products_T[Category],MATCH(C91,Products_T[SKU],0))</f>
        <v>Electronics Accessories</v>
      </c>
      <c r="F91" t="str">
        <f>INDEX(Products_T[SupplierName],MATCH(C91,Products_T[SKU],0))</f>
        <v>Quality Imports Ltd</v>
      </c>
      <c r="G91">
        <f t="shared" si="11"/>
        <v>79</v>
      </c>
      <c r="H91" s="3">
        <v>42</v>
      </c>
      <c r="I91" s="3">
        <v>59</v>
      </c>
      <c r="J91" s="3">
        <v>0</v>
      </c>
      <c r="K91" s="3">
        <v>0</v>
      </c>
      <c r="L91">
        <f t="shared" si="12"/>
        <v>62</v>
      </c>
      <c r="M91" s="10">
        <f>L91*INDEX(Products_T[UnitCost],MATCH(C91,Products_T[SKU],0))</f>
        <v>161200</v>
      </c>
      <c r="N91">
        <f>ROUND(INDEX(Products_T[AvgDailyUsage],MATCH(C91,Products_T[SKU],0))*(INDEX(Products_T[AvgLeadTime],MATCH(C91,Products_T[SKU],0))+INDEX(Products_T[LeadTimeRange],MATCH(C91,Products_T[SKU],0)))+INDEX(Products_T[SafetyStock],MATCH(C91,Products_T[SKU],0)),0)</f>
        <v>31</v>
      </c>
      <c r="O91" s="4">
        <f>IFERROR(L91/INDEX(Products_T[AvgDailyUsage],MATCH(C91,Products_T[SKU],0)),0)</f>
        <v>36.470588235294116</v>
      </c>
      <c r="P91" t="str">
        <f t="shared" si="13"/>
        <v>Healthy</v>
      </c>
      <c r="Q91" t="str">
        <f t="shared" si="14"/>
        <v>No</v>
      </c>
      <c r="R91">
        <f t="shared" si="15"/>
        <v>3</v>
      </c>
      <c r="S91" s="2">
        <f t="shared" si="16"/>
        <v>46112</v>
      </c>
      <c r="T91" s="12">
        <f>IFERROR(S91-_xlfn.MAXIFS(Transactions_T[Date],Transactions_T[SKU],C91,Transactions_T[Date],"&lt;="&amp;S91),"")</f>
        <v>5</v>
      </c>
    </row>
    <row r="92" spans="1:20" x14ac:dyDescent="0.25">
      <c r="A92" s="7">
        <v>46113</v>
      </c>
      <c r="B92" s="3" t="s">
        <v>32</v>
      </c>
      <c r="C92" s="3" t="s">
        <v>54</v>
      </c>
      <c r="D92" t="str">
        <f>INDEX(Products_T[ProductName],MATCH(C92,Products_T[SKU],0))</f>
        <v>Coca-Cola 1.5L</v>
      </c>
      <c r="E92" t="str">
        <f>INDEX(Products_T[Category],MATCH(C92,Products_T[SKU],0))</f>
        <v>Beverages</v>
      </c>
      <c r="F92" t="str">
        <f>INDEX(Products_T[SupplierName],MATCH(C92,Products_T[SKU],0))</f>
        <v>Global Distributors Ltd</v>
      </c>
      <c r="G92">
        <f t="shared" si="11"/>
        <v>349</v>
      </c>
      <c r="H92" s="3">
        <v>275</v>
      </c>
      <c r="I92" s="3">
        <v>169</v>
      </c>
      <c r="J92" s="3">
        <v>0</v>
      </c>
      <c r="K92" s="3">
        <v>0</v>
      </c>
      <c r="L92">
        <f t="shared" si="12"/>
        <v>455</v>
      </c>
      <c r="M92" s="10">
        <f>L92*INDEX(Products_T[UnitCost],MATCH(C92,Products_T[SKU],0))</f>
        <v>113750</v>
      </c>
      <c r="N92">
        <f>ROUND(INDEX(Products_T[AvgDailyUsage],MATCH(C92,Products_T[SKU],0))*(INDEX(Products_T[AvgLeadTime],MATCH(C92,Products_T[SKU],0))+INDEX(Products_T[LeadTimeRange],MATCH(C92,Products_T[SKU],0)))+INDEX(Products_T[SafetyStock],MATCH(C92,Products_T[SKU],0)),0)</f>
        <v>81</v>
      </c>
      <c r="O92" s="4">
        <f>IFERROR(L92/INDEX(Products_T[AvgDailyUsage],MATCH(C92,Products_T[SKU],0)),0)</f>
        <v>62.585969738651997</v>
      </c>
      <c r="P92" t="str">
        <f t="shared" si="13"/>
        <v>Overstock</v>
      </c>
      <c r="Q92" t="str">
        <f t="shared" si="14"/>
        <v>No</v>
      </c>
      <c r="R92">
        <f t="shared" si="15"/>
        <v>4</v>
      </c>
      <c r="S92" s="2">
        <f t="shared" si="16"/>
        <v>46142</v>
      </c>
      <c r="T92" s="12">
        <f>IFERROR(S92-_xlfn.MAXIFS(Transactions_T[Date],Transactions_T[SKU],C92,Transactions_T[Date],"&lt;="&amp;S92),"")</f>
        <v>14</v>
      </c>
    </row>
    <row r="93" spans="1:20" x14ac:dyDescent="0.25">
      <c r="A93" s="7">
        <v>46113</v>
      </c>
      <c r="B93" s="3" t="s">
        <v>32</v>
      </c>
      <c r="C93" s="3" t="s">
        <v>57</v>
      </c>
      <c r="D93" t="str">
        <f>INDEX(Products_T[ProductName],MATCH(C93,Products_T[SKU],0))</f>
        <v>Sprite 1.5L</v>
      </c>
      <c r="E93" t="str">
        <f>INDEX(Products_T[Category],MATCH(C93,Products_T[SKU],0))</f>
        <v>Beverages</v>
      </c>
      <c r="F93" t="str">
        <f>INDEX(Products_T[SupplierName],MATCH(C93,Products_T[SKU],0))</f>
        <v>Global Distributors Ltd</v>
      </c>
      <c r="G93">
        <f t="shared" si="11"/>
        <v>21</v>
      </c>
      <c r="H93" s="3">
        <v>260</v>
      </c>
      <c r="I93" s="3">
        <v>281</v>
      </c>
      <c r="J93" s="3">
        <v>0</v>
      </c>
      <c r="K93" s="3">
        <v>0</v>
      </c>
      <c r="L93">
        <f t="shared" si="12"/>
        <v>0</v>
      </c>
      <c r="M93" s="10">
        <f>L93*INDEX(Products_T[UnitCost],MATCH(C93,Products_T[SKU],0))</f>
        <v>0</v>
      </c>
      <c r="N93">
        <f>ROUND(INDEX(Products_T[AvgDailyUsage],MATCH(C93,Products_T[SKU],0))*(INDEX(Products_T[AvgLeadTime],MATCH(C93,Products_T[SKU],0))+INDEX(Products_T[LeadTimeRange],MATCH(C93,Products_T[SKU],0)))+INDEX(Products_T[SafetyStock],MATCH(C93,Products_T[SKU],0)),0)</f>
        <v>109</v>
      </c>
      <c r="O93" s="4">
        <f>IFERROR(L93/INDEX(Products_T[AvgDailyUsage],MATCH(C93,Products_T[SKU],0)),0)</f>
        <v>0</v>
      </c>
      <c r="P93" t="str">
        <f t="shared" si="13"/>
        <v>Out of Stock</v>
      </c>
      <c r="Q93" t="str">
        <f t="shared" si="14"/>
        <v>Yes</v>
      </c>
      <c r="R93">
        <f t="shared" si="15"/>
        <v>0</v>
      </c>
      <c r="S93" s="2">
        <f t="shared" si="16"/>
        <v>46142</v>
      </c>
      <c r="T93" s="12">
        <f>IFERROR(S93-_xlfn.MAXIFS(Transactions_T[Date],Transactions_T[SKU],C93,Transactions_T[Date],"&lt;="&amp;S93),"")</f>
        <v>9</v>
      </c>
    </row>
    <row r="94" spans="1:20" x14ac:dyDescent="0.25">
      <c r="A94" s="7">
        <v>46113</v>
      </c>
      <c r="B94" s="3" t="s">
        <v>32</v>
      </c>
      <c r="C94" s="3" t="s">
        <v>59</v>
      </c>
      <c r="D94" t="str">
        <f>INDEX(Products_T[ProductName],MATCH(C94,Products_T[SKU],0))</f>
        <v>Fanta 1.5L</v>
      </c>
      <c r="E94" t="str">
        <f>INDEX(Products_T[Category],MATCH(C94,Products_T[SKU],0))</f>
        <v>Beverages</v>
      </c>
      <c r="F94" t="str">
        <f>INDEX(Products_T[SupplierName],MATCH(C94,Products_T[SKU],0))</f>
        <v>Quality Imports Ltd</v>
      </c>
      <c r="G94">
        <f t="shared" si="11"/>
        <v>12</v>
      </c>
      <c r="H94" s="3">
        <v>427</v>
      </c>
      <c r="I94" s="3">
        <v>304</v>
      </c>
      <c r="J94" s="3">
        <v>0</v>
      </c>
      <c r="K94" s="3">
        <v>0</v>
      </c>
      <c r="L94">
        <f t="shared" si="12"/>
        <v>135</v>
      </c>
      <c r="M94" s="10">
        <f>L94*INDEX(Products_T[UnitCost],MATCH(C94,Products_T[SKU],0))</f>
        <v>32400</v>
      </c>
      <c r="N94">
        <f>ROUND(INDEX(Products_T[AvgDailyUsage],MATCH(C94,Products_T[SKU],0))*(INDEX(Products_T[AvgLeadTime],MATCH(C94,Products_T[SKU],0))+INDEX(Products_T[LeadTimeRange],MATCH(C94,Products_T[SKU],0)))+INDEX(Products_T[SafetyStock],MATCH(C94,Products_T[SKU],0)),0)</f>
        <v>170</v>
      </c>
      <c r="O94" s="4">
        <f>IFERROR(L94/INDEX(Products_T[AvgDailyUsage],MATCH(C94,Products_T[SKU],0)),0)</f>
        <v>11.70858629661752</v>
      </c>
      <c r="P94" t="str">
        <f t="shared" si="13"/>
        <v>Reorder</v>
      </c>
      <c r="Q94" t="str">
        <f t="shared" si="14"/>
        <v>Yes</v>
      </c>
      <c r="R94">
        <f t="shared" si="15"/>
        <v>2</v>
      </c>
      <c r="S94" s="2">
        <f t="shared" si="16"/>
        <v>46142</v>
      </c>
      <c r="T94" s="12">
        <f>IFERROR(S94-_xlfn.MAXIFS(Transactions_T[Date],Transactions_T[SKU],C94,Transactions_T[Date],"&lt;="&amp;S94),"")</f>
        <v>3</v>
      </c>
    </row>
    <row r="95" spans="1:20" x14ac:dyDescent="0.25">
      <c r="A95" s="7">
        <v>46113</v>
      </c>
      <c r="B95" s="3" t="s">
        <v>32</v>
      </c>
      <c r="C95" s="3" t="s">
        <v>61</v>
      </c>
      <c r="D95" t="str">
        <f>INDEX(Products_T[ProductName],MATCH(C95,Products_T[SKU],0))</f>
        <v>Bottled Water 75cl</v>
      </c>
      <c r="E95" t="str">
        <f>INDEX(Products_T[Category],MATCH(C95,Products_T[SKU],0))</f>
        <v>Beverages</v>
      </c>
      <c r="F95" t="str">
        <f>INDEX(Products_T[SupplierName],MATCH(C95,Products_T[SKU],0))</f>
        <v>Bulk Wholesale Co</v>
      </c>
      <c r="G95">
        <f t="shared" si="11"/>
        <v>359</v>
      </c>
      <c r="H95" s="3">
        <v>264</v>
      </c>
      <c r="I95" s="3">
        <v>179</v>
      </c>
      <c r="J95" s="3">
        <v>0</v>
      </c>
      <c r="K95" s="3">
        <v>0</v>
      </c>
      <c r="L95">
        <f t="shared" si="12"/>
        <v>444</v>
      </c>
      <c r="M95" s="10">
        <f>L95*INDEX(Products_T[UnitCost],MATCH(C95,Products_T[SKU],0))</f>
        <v>44400</v>
      </c>
      <c r="N95">
        <f>ROUND(INDEX(Products_T[AvgDailyUsage],MATCH(C95,Products_T[SKU],0))*(INDEX(Products_T[AvgLeadTime],MATCH(C95,Products_T[SKU],0))+INDEX(Products_T[LeadTimeRange],MATCH(C95,Products_T[SKU],0)))+INDEX(Products_T[SafetyStock],MATCH(C95,Products_T[SKU],0)),0)</f>
        <v>95</v>
      </c>
      <c r="O95" s="4">
        <f>IFERROR(L95/INDEX(Products_T[AvgDailyUsage],MATCH(C95,Products_T[SKU],0)),0)</f>
        <v>56.996148908857506</v>
      </c>
      <c r="P95" t="str">
        <f t="shared" si="13"/>
        <v>Overstock</v>
      </c>
      <c r="Q95" t="str">
        <f t="shared" si="14"/>
        <v>No</v>
      </c>
      <c r="R95">
        <f t="shared" si="15"/>
        <v>4</v>
      </c>
      <c r="S95" s="2">
        <f t="shared" si="16"/>
        <v>46142</v>
      </c>
      <c r="T95" s="12">
        <f>IFERROR(S95-_xlfn.MAXIFS(Transactions_T[Date],Transactions_T[SKU],C95,Transactions_T[Date],"&lt;="&amp;S95),"")</f>
        <v>13</v>
      </c>
    </row>
    <row r="96" spans="1:20" x14ac:dyDescent="0.25">
      <c r="A96" s="7">
        <v>46113</v>
      </c>
      <c r="B96" s="3" t="s">
        <v>32</v>
      </c>
      <c r="C96" s="3" t="s">
        <v>63</v>
      </c>
      <c r="D96" t="str">
        <f>INDEX(Products_T[ProductName],MATCH(C96,Products_T[SKU],0))</f>
        <v>Malt Drink 33cl</v>
      </c>
      <c r="E96" t="str">
        <f>INDEX(Products_T[Category],MATCH(C96,Products_T[SKU],0))</f>
        <v>Beverages</v>
      </c>
      <c r="F96" t="str">
        <f>INDEX(Products_T[SupplierName],MATCH(C96,Products_T[SKU],0))</f>
        <v>Global Distributors Ltd</v>
      </c>
      <c r="G96">
        <f t="shared" ref="G96:G127" si="17">L66</f>
        <v>109</v>
      </c>
      <c r="H96" s="3">
        <v>222</v>
      </c>
      <c r="I96" s="3">
        <v>331</v>
      </c>
      <c r="J96" s="3">
        <v>0</v>
      </c>
      <c r="K96" s="3">
        <v>0</v>
      </c>
      <c r="L96">
        <f t="shared" si="12"/>
        <v>0</v>
      </c>
      <c r="M96" s="10">
        <f>L96*INDEX(Products_T[UnitCost],MATCH(C96,Products_T[SKU],0))</f>
        <v>0</v>
      </c>
      <c r="N96">
        <f>ROUND(INDEX(Products_T[AvgDailyUsage],MATCH(C96,Products_T[SKU],0))*(INDEX(Products_T[AvgLeadTime],MATCH(C96,Products_T[SKU],0))+INDEX(Products_T[LeadTimeRange],MATCH(C96,Products_T[SKU],0)))+INDEX(Products_T[SafetyStock],MATCH(C96,Products_T[SKU],0)),0)</f>
        <v>105</v>
      </c>
      <c r="O96" s="4">
        <f>IFERROR(L96/INDEX(Products_T[AvgDailyUsage],MATCH(C96,Products_T[SKU],0)),0)</f>
        <v>0</v>
      </c>
      <c r="P96" t="str">
        <f t="shared" si="13"/>
        <v>Out of Stock</v>
      </c>
      <c r="Q96" t="str">
        <f t="shared" si="14"/>
        <v>Yes</v>
      </c>
      <c r="R96">
        <f t="shared" si="15"/>
        <v>0</v>
      </c>
      <c r="S96" s="2">
        <f t="shared" si="16"/>
        <v>46142</v>
      </c>
      <c r="T96" s="12">
        <f>IFERROR(S96-_xlfn.MAXIFS(Transactions_T[Date],Transactions_T[SKU],C96,Transactions_T[Date],"&lt;="&amp;S96),"")</f>
        <v>11</v>
      </c>
    </row>
    <row r="97" spans="1:20" x14ac:dyDescent="0.25">
      <c r="A97" s="7">
        <v>46113</v>
      </c>
      <c r="B97" s="3" t="s">
        <v>32</v>
      </c>
      <c r="C97" s="3" t="s">
        <v>65</v>
      </c>
      <c r="D97" t="str">
        <f>INDEX(Products_T[ProductName],MATCH(C97,Products_T[SKU],0))</f>
        <v>Colgate Toothpaste 100ml</v>
      </c>
      <c r="E97" t="str">
        <f>INDEX(Products_T[Category],MATCH(C97,Products_T[SKU],0))</f>
        <v>Personal Care</v>
      </c>
      <c r="F97" t="str">
        <f>INDEX(Products_T[SupplierName],MATCH(C97,Products_T[SKU],0))</f>
        <v>Premier Supplies Ltd</v>
      </c>
      <c r="G97">
        <f t="shared" si="17"/>
        <v>239</v>
      </c>
      <c r="H97" s="3">
        <v>0</v>
      </c>
      <c r="I97" s="3">
        <v>0</v>
      </c>
      <c r="J97" s="3">
        <v>0</v>
      </c>
      <c r="K97" s="3">
        <v>0</v>
      </c>
      <c r="L97">
        <f t="shared" si="12"/>
        <v>239</v>
      </c>
      <c r="M97" s="10">
        <f>L97*INDEX(Products_T[UnitCost],MATCH(C97,Products_T[SKU],0))</f>
        <v>107550</v>
      </c>
      <c r="N97">
        <f>ROUND(INDEX(Products_T[AvgDailyUsage],MATCH(C97,Products_T[SKU],0))*(INDEX(Products_T[AvgLeadTime],MATCH(C97,Products_T[SKU],0))+INDEX(Products_T[LeadTimeRange],MATCH(C97,Products_T[SKU],0)))+INDEX(Products_T[SafetyStock],MATCH(C97,Products_T[SKU],0)),0)</f>
        <v>68</v>
      </c>
      <c r="O97" s="4">
        <f>IFERROR(L97/INDEX(Products_T[AvgDailyUsage],MATCH(C97,Products_T[SKU],0)),0)</f>
        <v>51.843817787418651</v>
      </c>
      <c r="P97" t="str">
        <f t="shared" si="13"/>
        <v>Overstock</v>
      </c>
      <c r="Q97" t="str">
        <f t="shared" si="14"/>
        <v>No</v>
      </c>
      <c r="R97">
        <f t="shared" si="15"/>
        <v>4</v>
      </c>
      <c r="S97" s="2">
        <f t="shared" si="16"/>
        <v>46142</v>
      </c>
      <c r="T97" s="12">
        <f>IFERROR(S97-_xlfn.MAXIFS(Transactions_T[Date],Transactions_T[SKU],C97,Transactions_T[Date],"&lt;="&amp;S97),"")</f>
        <v>74</v>
      </c>
    </row>
    <row r="98" spans="1:20" x14ac:dyDescent="0.25">
      <c r="A98" s="7">
        <v>46113</v>
      </c>
      <c r="B98" s="3" t="s">
        <v>32</v>
      </c>
      <c r="C98" s="3" t="s">
        <v>68</v>
      </c>
      <c r="D98" t="str">
        <f>INDEX(Products_T[ProductName],MATCH(C98,Products_T[SKU],0))</f>
        <v>Dettol Soap 100g</v>
      </c>
      <c r="E98" t="str">
        <f>INDEX(Products_T[Category],MATCH(C98,Products_T[SKU],0))</f>
        <v>Personal Care</v>
      </c>
      <c r="F98" t="str">
        <f>INDEX(Products_T[SupplierName],MATCH(C98,Products_T[SKU],0))</f>
        <v>Premier Supplies Ltd</v>
      </c>
      <c r="G98">
        <f t="shared" si="17"/>
        <v>96</v>
      </c>
      <c r="H98" s="3">
        <v>170</v>
      </c>
      <c r="I98" s="3">
        <v>130</v>
      </c>
      <c r="J98" s="3">
        <v>0</v>
      </c>
      <c r="K98" s="3">
        <v>0</v>
      </c>
      <c r="L98">
        <f t="shared" ref="L98:L129" si="18">MAX(G98+H98-I98-J98+K98,0)</f>
        <v>136</v>
      </c>
      <c r="M98" s="10">
        <f>L98*INDEX(Products_T[UnitCost],MATCH(C98,Products_T[SKU],0))</f>
        <v>29920</v>
      </c>
      <c r="N98">
        <f>ROUND(INDEX(Products_T[AvgDailyUsage],MATCH(C98,Products_T[SKU],0))*(INDEX(Products_T[AvgLeadTime],MATCH(C98,Products_T[SKU],0))+INDEX(Products_T[LeadTimeRange],MATCH(C98,Products_T[SKU],0)))+INDEX(Products_T[SafetyStock],MATCH(C98,Products_T[SKU],0)),0)</f>
        <v>73</v>
      </c>
      <c r="O98" s="4">
        <f>IFERROR(L98/INDEX(Products_T[AvgDailyUsage],MATCH(C98,Products_T[SKU],0)),0)</f>
        <v>27.037773359840951</v>
      </c>
      <c r="P98" t="str">
        <f t="shared" ref="P98:P129" si="19">IF(L98=0,"Out of Stock",IF(L98&lt;0.5*N98,"Critical",IF(L98&lt;=N98,"Reorder",IF(L98&gt;2*N98,"Overstock","Healthy"))))</f>
        <v>Healthy</v>
      </c>
      <c r="Q98" t="str">
        <f t="shared" ref="Q98:Q129" si="20">IF(OR(P98="Out of Stock",P98="Critical",P98="Reorder"),"Yes","No")</f>
        <v>No</v>
      </c>
      <c r="R98">
        <f t="shared" ref="R98:R129" si="21">_xlfn.SWITCH(P98,"Out of Stock",0,"Critical",1,"Reorder",2,"Healthy",3,"Overstock",4,5)</f>
        <v>3</v>
      </c>
      <c r="S98" s="2">
        <f t="shared" ref="S98:S129" si="22">EOMONTH(A98,0)</f>
        <v>46142</v>
      </c>
      <c r="T98" s="12">
        <f>IFERROR(S98-_xlfn.MAXIFS(Transactions_T[Date],Transactions_T[SKU],C98,Transactions_T[Date],"&lt;="&amp;S98),"")</f>
        <v>8</v>
      </c>
    </row>
    <row r="99" spans="1:20" x14ac:dyDescent="0.25">
      <c r="A99" s="7">
        <v>46113</v>
      </c>
      <c r="B99" s="3" t="s">
        <v>32</v>
      </c>
      <c r="C99" s="3" t="s">
        <v>70</v>
      </c>
      <c r="D99" t="str">
        <f>INDEX(Products_T[ProductName],MATCH(C99,Products_T[SKU],0))</f>
        <v>Sunsilk Shampoo 200ml</v>
      </c>
      <c r="E99" t="str">
        <f>INDEX(Products_T[Category],MATCH(C99,Products_T[SKU],0))</f>
        <v>Personal Care</v>
      </c>
      <c r="F99" t="str">
        <f>INDEX(Products_T[SupplierName],MATCH(C99,Products_T[SKU],0))</f>
        <v>Premier Supplies Ltd</v>
      </c>
      <c r="G99">
        <f t="shared" si="17"/>
        <v>62</v>
      </c>
      <c r="H99" s="3">
        <v>283</v>
      </c>
      <c r="I99" s="3">
        <v>226</v>
      </c>
      <c r="J99" s="3">
        <v>0</v>
      </c>
      <c r="K99" s="3">
        <v>0</v>
      </c>
      <c r="L99">
        <f t="shared" si="18"/>
        <v>119</v>
      </c>
      <c r="M99" s="10">
        <f>L99*INDEX(Products_T[UnitCost],MATCH(C99,Products_T[SKU],0))</f>
        <v>65450</v>
      </c>
      <c r="N99">
        <f>ROUND(INDEX(Products_T[AvgDailyUsage],MATCH(C99,Products_T[SKU],0))*(INDEX(Products_T[AvgLeadTime],MATCH(C99,Products_T[SKU],0))+INDEX(Products_T[LeadTimeRange],MATCH(C99,Products_T[SKU],0)))+INDEX(Products_T[SafetyStock],MATCH(C99,Products_T[SKU],0)),0)</f>
        <v>108</v>
      </c>
      <c r="O99" s="4">
        <f>IFERROR(L99/INDEX(Products_T[AvgDailyUsage],MATCH(C99,Products_T[SKU],0)),0)</f>
        <v>14.968553459119496</v>
      </c>
      <c r="P99" t="str">
        <f t="shared" si="19"/>
        <v>Healthy</v>
      </c>
      <c r="Q99" t="str">
        <f t="shared" si="20"/>
        <v>No</v>
      </c>
      <c r="R99">
        <f t="shared" si="21"/>
        <v>3</v>
      </c>
      <c r="S99" s="2">
        <f t="shared" si="22"/>
        <v>46142</v>
      </c>
      <c r="T99" s="12">
        <f>IFERROR(S99-_xlfn.MAXIFS(Transactions_T[Date],Transactions_T[SKU],C99,Transactions_T[Date],"&lt;="&amp;S99),"")</f>
        <v>9</v>
      </c>
    </row>
    <row r="100" spans="1:20" x14ac:dyDescent="0.25">
      <c r="A100" s="7">
        <v>46113</v>
      </c>
      <c r="B100" s="3" t="s">
        <v>32</v>
      </c>
      <c r="C100" s="3" t="s">
        <v>72</v>
      </c>
      <c r="D100" t="str">
        <f>INDEX(Products_T[ProductName],MATCH(C100,Products_T[SKU],0))</f>
        <v>Vaseline Lotion 400ml</v>
      </c>
      <c r="E100" t="str">
        <f>INDEX(Products_T[Category],MATCH(C100,Products_T[SKU],0))</f>
        <v>Personal Care</v>
      </c>
      <c r="F100" t="str">
        <f>INDEX(Products_T[SupplierName],MATCH(C100,Products_T[SKU],0))</f>
        <v>Local Sourcing Ltd</v>
      </c>
      <c r="G100">
        <f t="shared" si="17"/>
        <v>93</v>
      </c>
      <c r="H100" s="3">
        <v>246</v>
      </c>
      <c r="I100" s="3">
        <v>310</v>
      </c>
      <c r="J100" s="3">
        <v>0</v>
      </c>
      <c r="K100" s="3">
        <v>0</v>
      </c>
      <c r="L100">
        <f t="shared" si="18"/>
        <v>29</v>
      </c>
      <c r="M100" s="10">
        <f>L100*INDEX(Products_T[UnitCost],MATCH(C100,Products_T[SKU],0))</f>
        <v>17980</v>
      </c>
      <c r="N100">
        <f>ROUND(INDEX(Products_T[AvgDailyUsage],MATCH(C100,Products_T[SKU],0))*(INDEX(Products_T[AvgLeadTime],MATCH(C100,Products_T[SKU],0))+INDEX(Products_T[LeadTimeRange],MATCH(C100,Products_T[SKU],0)))+INDEX(Products_T[SafetyStock],MATCH(C100,Products_T[SKU],0)),0)</f>
        <v>67</v>
      </c>
      <c r="O100" s="4">
        <f>IFERROR(L100/INDEX(Products_T[AvgDailyUsage],MATCH(C100,Products_T[SKU],0)),0)</f>
        <v>3.3218785796105381</v>
      </c>
      <c r="P100" t="str">
        <f t="shared" si="19"/>
        <v>Critical</v>
      </c>
      <c r="Q100" t="str">
        <f t="shared" si="20"/>
        <v>Yes</v>
      </c>
      <c r="R100">
        <f t="shared" si="21"/>
        <v>1</v>
      </c>
      <c r="S100" s="2">
        <f t="shared" si="22"/>
        <v>46142</v>
      </c>
      <c r="T100" s="12">
        <f>IFERROR(S100-_xlfn.MAXIFS(Transactions_T[Date],Transactions_T[SKU],C100,Transactions_T[Date],"&lt;="&amp;S100),"")</f>
        <v>15</v>
      </c>
    </row>
    <row r="101" spans="1:20" x14ac:dyDescent="0.25">
      <c r="A101" s="7">
        <v>46113</v>
      </c>
      <c r="B101" s="3" t="s">
        <v>32</v>
      </c>
      <c r="C101" s="3" t="s">
        <v>74</v>
      </c>
      <c r="D101" t="str">
        <f>INDEX(Products_T[ProductName],MATCH(C101,Products_T[SKU],0))</f>
        <v>Always Sanitary Pads</v>
      </c>
      <c r="E101" t="str">
        <f>INDEX(Products_T[Category],MATCH(C101,Products_T[SKU],0))</f>
        <v>Personal Care</v>
      </c>
      <c r="F101" t="str">
        <f>INDEX(Products_T[SupplierName],MATCH(C101,Products_T[SKU],0))</f>
        <v>Premier Supplies Ltd</v>
      </c>
      <c r="G101">
        <f t="shared" si="17"/>
        <v>62</v>
      </c>
      <c r="H101" s="3">
        <v>133</v>
      </c>
      <c r="I101" s="3">
        <v>187</v>
      </c>
      <c r="J101" s="3">
        <v>0</v>
      </c>
      <c r="K101" s="3">
        <v>0</v>
      </c>
      <c r="L101">
        <f t="shared" si="18"/>
        <v>8</v>
      </c>
      <c r="M101" s="10">
        <f>L101*INDEX(Products_T[UnitCost],MATCH(C101,Products_T[SKU],0))</f>
        <v>3040</v>
      </c>
      <c r="N101">
        <f>ROUND(INDEX(Products_T[AvgDailyUsage],MATCH(C101,Products_T[SKU],0))*(INDEX(Products_T[AvgLeadTime],MATCH(C101,Products_T[SKU],0))+INDEX(Products_T[LeadTimeRange],MATCH(C101,Products_T[SKU],0)))+INDEX(Products_T[SafetyStock],MATCH(C101,Products_T[SKU],0)),0)</f>
        <v>75</v>
      </c>
      <c r="O101" s="4">
        <f>IFERROR(L101/INDEX(Products_T[AvgDailyUsage],MATCH(C101,Products_T[SKU],0)),0)</f>
        <v>1.5384615384615383</v>
      </c>
      <c r="P101" t="str">
        <f t="shared" si="19"/>
        <v>Critical</v>
      </c>
      <c r="Q101" t="str">
        <f t="shared" si="20"/>
        <v>Yes</v>
      </c>
      <c r="R101">
        <f t="shared" si="21"/>
        <v>1</v>
      </c>
      <c r="S101" s="2">
        <f t="shared" si="22"/>
        <v>46142</v>
      </c>
      <c r="T101" s="12">
        <f>IFERROR(S101-_xlfn.MAXIFS(Transactions_T[Date],Transactions_T[SKU],C101,Transactions_T[Date],"&lt;="&amp;S101),"")</f>
        <v>5</v>
      </c>
    </row>
    <row r="102" spans="1:20" x14ac:dyDescent="0.25">
      <c r="A102" s="7">
        <v>46113</v>
      </c>
      <c r="B102" s="3" t="s">
        <v>32</v>
      </c>
      <c r="C102" s="3" t="s">
        <v>76</v>
      </c>
      <c r="D102" t="str">
        <f>INDEX(Products_T[ProductName],MATCH(C102,Products_T[SKU],0))</f>
        <v>Indomie Noodles Carton</v>
      </c>
      <c r="E102" t="str">
        <f>INDEX(Products_T[Category],MATCH(C102,Products_T[SKU],0))</f>
        <v>Packaged Foods</v>
      </c>
      <c r="F102" t="str">
        <f>INDEX(Products_T[SupplierName],MATCH(C102,Products_T[SKU],0))</f>
        <v>Bulk Wholesale Co</v>
      </c>
      <c r="G102">
        <f t="shared" si="17"/>
        <v>0</v>
      </c>
      <c r="H102" s="3">
        <v>206</v>
      </c>
      <c r="I102" s="3">
        <v>206</v>
      </c>
      <c r="J102" s="3">
        <v>0</v>
      </c>
      <c r="K102" s="3">
        <v>0</v>
      </c>
      <c r="L102">
        <f t="shared" si="18"/>
        <v>0</v>
      </c>
      <c r="M102" s="10">
        <f>L102*INDEX(Products_T[UnitCost],MATCH(C102,Products_T[SKU],0))</f>
        <v>0</v>
      </c>
      <c r="N102">
        <f>ROUND(INDEX(Products_T[AvgDailyUsage],MATCH(C102,Products_T[SKU],0))*(INDEX(Products_T[AvgLeadTime],MATCH(C102,Products_T[SKU],0))+INDEX(Products_T[LeadTimeRange],MATCH(C102,Products_T[SKU],0)))+INDEX(Products_T[SafetyStock],MATCH(C102,Products_T[SKU],0)),0)</f>
        <v>69</v>
      </c>
      <c r="O102" s="4">
        <f>IFERROR(L102/INDEX(Products_T[AvgDailyUsage],MATCH(C102,Products_T[SKU],0)),0)</f>
        <v>0</v>
      </c>
      <c r="P102" t="str">
        <f t="shared" si="19"/>
        <v>Out of Stock</v>
      </c>
      <c r="Q102" t="str">
        <f t="shared" si="20"/>
        <v>Yes</v>
      </c>
      <c r="R102">
        <f t="shared" si="21"/>
        <v>0</v>
      </c>
      <c r="S102" s="2">
        <f t="shared" si="22"/>
        <v>46142</v>
      </c>
      <c r="T102" s="12">
        <f>IFERROR(S102-_xlfn.MAXIFS(Transactions_T[Date],Transactions_T[SKU],C102,Transactions_T[Date],"&lt;="&amp;S102),"")</f>
        <v>14</v>
      </c>
    </row>
    <row r="103" spans="1:20" x14ac:dyDescent="0.25">
      <c r="A103" s="7">
        <v>46113</v>
      </c>
      <c r="B103" s="3" t="s">
        <v>32</v>
      </c>
      <c r="C103" s="3" t="s">
        <v>79</v>
      </c>
      <c r="D103" t="str">
        <f>INDEX(Products_T[ProductName],MATCH(C103,Products_T[SKU],0))</f>
        <v>Golden Penny Semovita 1kg</v>
      </c>
      <c r="E103" t="str">
        <f>INDEX(Products_T[Category],MATCH(C103,Products_T[SKU],0))</f>
        <v>Packaged Foods</v>
      </c>
      <c r="F103" t="str">
        <f>INDEX(Products_T[SupplierName],MATCH(C103,Products_T[SKU],0))</f>
        <v>Bulk Wholesale Co</v>
      </c>
      <c r="G103">
        <f t="shared" si="17"/>
        <v>103</v>
      </c>
      <c r="H103" s="3">
        <v>196</v>
      </c>
      <c r="I103" s="3">
        <v>232</v>
      </c>
      <c r="J103" s="3">
        <v>0</v>
      </c>
      <c r="K103" s="3">
        <v>0</v>
      </c>
      <c r="L103">
        <f t="shared" si="18"/>
        <v>67</v>
      </c>
      <c r="M103" s="10">
        <f>L103*INDEX(Products_T[UnitCost],MATCH(C103,Products_T[SKU],0))</f>
        <v>56950</v>
      </c>
      <c r="N103">
        <f>ROUND(INDEX(Products_T[AvgDailyUsage],MATCH(C103,Products_T[SKU],0))*(INDEX(Products_T[AvgLeadTime],MATCH(C103,Products_T[SKU],0))+INDEX(Products_T[LeadTimeRange],MATCH(C103,Products_T[SKU],0)))+INDEX(Products_T[SafetyStock],MATCH(C103,Products_T[SKU],0)),0)</f>
        <v>69</v>
      </c>
      <c r="O103" s="4">
        <f>IFERROR(L103/INDEX(Products_T[AvgDailyUsage],MATCH(C103,Products_T[SKU],0)),0)</f>
        <v>9.5305832147937402</v>
      </c>
      <c r="P103" t="str">
        <f t="shared" si="19"/>
        <v>Reorder</v>
      </c>
      <c r="Q103" t="str">
        <f t="shared" si="20"/>
        <v>Yes</v>
      </c>
      <c r="R103">
        <f t="shared" si="21"/>
        <v>2</v>
      </c>
      <c r="S103" s="2">
        <f t="shared" si="22"/>
        <v>46142</v>
      </c>
      <c r="T103" s="12">
        <f>IFERROR(S103-_xlfn.MAXIFS(Transactions_T[Date],Transactions_T[SKU],C103,Transactions_T[Date],"&lt;="&amp;S103),"")</f>
        <v>15</v>
      </c>
    </row>
    <row r="104" spans="1:20" x14ac:dyDescent="0.25">
      <c r="A104" s="7">
        <v>46113</v>
      </c>
      <c r="B104" s="3" t="s">
        <v>32</v>
      </c>
      <c r="C104" s="3" t="s">
        <v>81</v>
      </c>
      <c r="D104" t="str">
        <f>INDEX(Products_T[ProductName],MATCH(C104,Products_T[SKU],0))</f>
        <v>Peak Milk Tin 400g</v>
      </c>
      <c r="E104" t="str">
        <f>INDEX(Products_T[Category],MATCH(C104,Products_T[SKU],0))</f>
        <v>Packaged Foods</v>
      </c>
      <c r="F104" t="str">
        <f>INDEX(Products_T[SupplierName],MATCH(C104,Products_T[SKU],0))</f>
        <v>Global Distributors Ltd</v>
      </c>
      <c r="G104">
        <f t="shared" si="17"/>
        <v>334</v>
      </c>
      <c r="H104" s="3">
        <v>270</v>
      </c>
      <c r="I104" s="3">
        <v>198</v>
      </c>
      <c r="J104" s="3">
        <v>0</v>
      </c>
      <c r="K104" s="3">
        <v>0</v>
      </c>
      <c r="L104">
        <f t="shared" si="18"/>
        <v>406</v>
      </c>
      <c r="M104" s="10">
        <f>L104*INDEX(Products_T[UnitCost],MATCH(C104,Products_T[SKU],0))</f>
        <v>276080</v>
      </c>
      <c r="N104">
        <f>ROUND(INDEX(Products_T[AvgDailyUsage],MATCH(C104,Products_T[SKU],0))*(INDEX(Products_T[AvgLeadTime],MATCH(C104,Products_T[SKU],0))+INDEX(Products_T[LeadTimeRange],MATCH(C104,Products_T[SKU],0)))+INDEX(Products_T[SafetyStock],MATCH(C104,Products_T[SKU],0)),0)</f>
        <v>85</v>
      </c>
      <c r="O104" s="4">
        <f>IFERROR(L104/INDEX(Products_T[AvgDailyUsage],MATCH(C104,Products_T[SKU],0)),0)</f>
        <v>56.232686980609422</v>
      </c>
      <c r="P104" t="str">
        <f t="shared" si="19"/>
        <v>Overstock</v>
      </c>
      <c r="Q104" t="str">
        <f t="shared" si="20"/>
        <v>No</v>
      </c>
      <c r="R104">
        <f t="shared" si="21"/>
        <v>4</v>
      </c>
      <c r="S104" s="2">
        <f t="shared" si="22"/>
        <v>46142</v>
      </c>
      <c r="T104" s="12">
        <f>IFERROR(S104-_xlfn.MAXIFS(Transactions_T[Date],Transactions_T[SKU],C104,Transactions_T[Date],"&lt;="&amp;S104),"")</f>
        <v>13</v>
      </c>
    </row>
    <row r="105" spans="1:20" x14ac:dyDescent="0.25">
      <c r="A105" s="7">
        <v>46113</v>
      </c>
      <c r="B105" s="3" t="s">
        <v>32</v>
      </c>
      <c r="C105" s="3" t="s">
        <v>83</v>
      </c>
      <c r="D105" t="str">
        <f>INDEX(Products_T[ProductName],MATCH(C105,Products_T[SKU],0))</f>
        <v>Dangote Pasta 500g</v>
      </c>
      <c r="E105" t="str">
        <f>INDEX(Products_T[Category],MATCH(C105,Products_T[SKU],0))</f>
        <v>Packaged Foods</v>
      </c>
      <c r="F105" t="str">
        <f>INDEX(Products_T[SupplierName],MATCH(C105,Products_T[SKU],0))</f>
        <v>Bulk Wholesale Co</v>
      </c>
      <c r="G105">
        <f t="shared" si="17"/>
        <v>10</v>
      </c>
      <c r="H105" s="3">
        <v>158</v>
      </c>
      <c r="I105" s="3">
        <v>168</v>
      </c>
      <c r="J105" s="3">
        <v>0</v>
      </c>
      <c r="K105" s="3">
        <v>0</v>
      </c>
      <c r="L105">
        <f t="shared" si="18"/>
        <v>0</v>
      </c>
      <c r="M105" s="10">
        <f>L105*INDEX(Products_T[UnitCost],MATCH(C105,Products_T[SKU],0))</f>
        <v>0</v>
      </c>
      <c r="N105">
        <f>ROUND(INDEX(Products_T[AvgDailyUsage],MATCH(C105,Products_T[SKU],0))*(INDEX(Products_T[AvgLeadTime],MATCH(C105,Products_T[SKU],0))+INDEX(Products_T[LeadTimeRange],MATCH(C105,Products_T[SKU],0)))+INDEX(Products_T[SafetyStock],MATCH(C105,Products_T[SKU],0)),0)</f>
        <v>78</v>
      </c>
      <c r="O105" s="4">
        <f>IFERROR(L105/INDEX(Products_T[AvgDailyUsage],MATCH(C105,Products_T[SKU],0)),0)</f>
        <v>0</v>
      </c>
      <c r="P105" t="str">
        <f t="shared" si="19"/>
        <v>Out of Stock</v>
      </c>
      <c r="Q105" t="str">
        <f t="shared" si="20"/>
        <v>Yes</v>
      </c>
      <c r="R105">
        <f t="shared" si="21"/>
        <v>0</v>
      </c>
      <c r="S105" s="2">
        <f t="shared" si="22"/>
        <v>46142</v>
      </c>
      <c r="T105" s="12">
        <f>IFERROR(S105-_xlfn.MAXIFS(Transactions_T[Date],Transactions_T[SKU],C105,Transactions_T[Date],"&lt;="&amp;S105),"")</f>
        <v>3</v>
      </c>
    </row>
    <row r="106" spans="1:20" x14ac:dyDescent="0.25">
      <c r="A106" s="7">
        <v>46113</v>
      </c>
      <c r="B106" s="3" t="s">
        <v>32</v>
      </c>
      <c r="C106" s="3" t="s">
        <v>85</v>
      </c>
      <c r="D106" t="str">
        <f>INDEX(Products_T[ProductName],MATCH(C106,Products_T[SKU],0))</f>
        <v>Kings Vegetable Oil 1L</v>
      </c>
      <c r="E106" t="str">
        <f>INDEX(Products_T[Category],MATCH(C106,Products_T[SKU],0))</f>
        <v>Packaged Foods</v>
      </c>
      <c r="F106" t="str">
        <f>INDEX(Products_T[SupplierName],MATCH(C106,Products_T[SKU],0))</f>
        <v>Global Distributors Ltd</v>
      </c>
      <c r="G106">
        <f t="shared" si="17"/>
        <v>0</v>
      </c>
      <c r="H106" s="3">
        <v>105</v>
      </c>
      <c r="I106" s="3">
        <v>74</v>
      </c>
      <c r="J106" s="3">
        <v>0</v>
      </c>
      <c r="K106" s="3">
        <v>0</v>
      </c>
      <c r="L106">
        <f t="shared" si="18"/>
        <v>31</v>
      </c>
      <c r="M106" s="10">
        <f>L106*INDEX(Products_T[UnitCost],MATCH(C106,Products_T[SKU],0))</f>
        <v>44950</v>
      </c>
      <c r="N106">
        <f>ROUND(INDEX(Products_T[AvgDailyUsage],MATCH(C106,Products_T[SKU],0))*(INDEX(Products_T[AvgLeadTime],MATCH(C106,Products_T[SKU],0))+INDEX(Products_T[LeadTimeRange],MATCH(C106,Products_T[SKU],0)))+INDEX(Products_T[SafetyStock],MATCH(C106,Products_T[SKU],0)),0)</f>
        <v>46</v>
      </c>
      <c r="O106" s="4">
        <f>IFERROR(L106/INDEX(Products_T[AvgDailyUsage],MATCH(C106,Products_T[SKU],0)),0)</f>
        <v>9.9678456591639879</v>
      </c>
      <c r="P106" t="str">
        <f t="shared" si="19"/>
        <v>Reorder</v>
      </c>
      <c r="Q106" t="str">
        <f t="shared" si="20"/>
        <v>Yes</v>
      </c>
      <c r="R106">
        <f t="shared" si="21"/>
        <v>2</v>
      </c>
      <c r="S106" s="2">
        <f t="shared" si="22"/>
        <v>46142</v>
      </c>
      <c r="T106" s="12">
        <f>IFERROR(S106-_xlfn.MAXIFS(Transactions_T[Date],Transactions_T[SKU],C106,Transactions_T[Date],"&lt;="&amp;S106),"")</f>
        <v>13</v>
      </c>
    </row>
    <row r="107" spans="1:20" x14ac:dyDescent="0.25">
      <c r="A107" s="7">
        <v>46113</v>
      </c>
      <c r="B107" s="3" t="s">
        <v>32</v>
      </c>
      <c r="C107" s="3" t="s">
        <v>87</v>
      </c>
      <c r="D107" t="str">
        <f>INDEX(Products_T[ProductName],MATCH(C107,Products_T[SKU],0))</f>
        <v>Titus Sardine Tin</v>
      </c>
      <c r="E107" t="str">
        <f>INDEX(Products_T[Category],MATCH(C107,Products_T[SKU],0))</f>
        <v>Packaged Foods</v>
      </c>
      <c r="F107" t="str">
        <f>INDEX(Products_T[SupplierName],MATCH(C107,Products_T[SKU],0))</f>
        <v>Bulk Wholesale Co</v>
      </c>
      <c r="G107">
        <f t="shared" si="17"/>
        <v>95</v>
      </c>
      <c r="H107" s="3">
        <v>173</v>
      </c>
      <c r="I107" s="3">
        <v>147</v>
      </c>
      <c r="J107" s="3">
        <v>0</v>
      </c>
      <c r="K107" s="3">
        <v>0</v>
      </c>
      <c r="L107">
        <f t="shared" si="18"/>
        <v>121</v>
      </c>
      <c r="M107" s="10">
        <f>L107*INDEX(Products_T[UnitCost],MATCH(C107,Products_T[SKU],0))</f>
        <v>70180</v>
      </c>
      <c r="N107">
        <f>ROUND(INDEX(Products_T[AvgDailyUsage],MATCH(C107,Products_T[SKU],0))*(INDEX(Products_T[AvgLeadTime],MATCH(C107,Products_T[SKU],0))+INDEX(Products_T[LeadTimeRange],MATCH(C107,Products_T[SKU],0)))+INDEX(Products_T[SafetyStock],MATCH(C107,Products_T[SKU],0)),0)</f>
        <v>52</v>
      </c>
      <c r="O107" s="4">
        <f>IFERROR(L107/INDEX(Products_T[AvgDailyUsage],MATCH(C107,Products_T[SKU],0)),0)</f>
        <v>22.873345935727787</v>
      </c>
      <c r="P107" t="str">
        <f t="shared" si="19"/>
        <v>Overstock</v>
      </c>
      <c r="Q107" t="str">
        <f t="shared" si="20"/>
        <v>No</v>
      </c>
      <c r="R107">
        <f t="shared" si="21"/>
        <v>4</v>
      </c>
      <c r="S107" s="2">
        <f t="shared" si="22"/>
        <v>46142</v>
      </c>
      <c r="T107" s="12">
        <f>IFERROR(S107-_xlfn.MAXIFS(Transactions_T[Date],Transactions_T[SKU],C107,Transactions_T[Date],"&lt;="&amp;S107),"")</f>
        <v>13</v>
      </c>
    </row>
    <row r="108" spans="1:20" x14ac:dyDescent="0.25">
      <c r="A108" s="7">
        <v>46113</v>
      </c>
      <c r="B108" s="3" t="s">
        <v>32</v>
      </c>
      <c r="C108" s="3" t="s">
        <v>89</v>
      </c>
      <c r="D108" t="str">
        <f>INDEX(Products_T[ProductName],MATCH(C108,Products_T[SKU],0))</f>
        <v>Nasco Cornflakes 500g</v>
      </c>
      <c r="E108" t="str">
        <f>INDEX(Products_T[Category],MATCH(C108,Products_T[SKU],0))</f>
        <v>Packaged Foods</v>
      </c>
      <c r="F108" t="str">
        <f>INDEX(Products_T[SupplierName],MATCH(C108,Products_T[SKU],0))</f>
        <v>Quality Imports Ltd</v>
      </c>
      <c r="G108">
        <f t="shared" si="17"/>
        <v>162</v>
      </c>
      <c r="H108" s="3">
        <v>0</v>
      </c>
      <c r="I108" s="3">
        <v>0</v>
      </c>
      <c r="J108" s="3">
        <v>0</v>
      </c>
      <c r="K108" s="3">
        <v>0</v>
      </c>
      <c r="L108">
        <f t="shared" si="18"/>
        <v>162</v>
      </c>
      <c r="M108" s="10">
        <f>L108*INDEX(Products_T[UnitCost],MATCH(C108,Products_T[SKU],0))</f>
        <v>153900</v>
      </c>
      <c r="N108">
        <f>ROUND(INDEX(Products_T[AvgDailyUsage],MATCH(C108,Products_T[SKU],0))*(INDEX(Products_T[AvgLeadTime],MATCH(C108,Products_T[SKU],0))+INDEX(Products_T[LeadTimeRange],MATCH(C108,Products_T[SKU],0)))+INDEX(Products_T[SafetyStock],MATCH(C108,Products_T[SKU],0)),0)</f>
        <v>85</v>
      </c>
      <c r="O108" s="4">
        <f>IFERROR(L108/INDEX(Products_T[AvgDailyUsage],MATCH(C108,Products_T[SKU],0)),0)</f>
        <v>30.223880597014922</v>
      </c>
      <c r="P108" t="str">
        <f t="shared" si="19"/>
        <v>Healthy</v>
      </c>
      <c r="Q108" t="str">
        <f t="shared" si="20"/>
        <v>No</v>
      </c>
      <c r="R108">
        <f t="shared" si="21"/>
        <v>3</v>
      </c>
      <c r="S108" s="2">
        <f t="shared" si="22"/>
        <v>46142</v>
      </c>
      <c r="T108" s="12">
        <f>IFERROR(S108-_xlfn.MAXIFS(Transactions_T[Date],Transactions_T[SKU],C108,Transactions_T[Date],"&lt;="&amp;S108),"")</f>
        <v>34</v>
      </c>
    </row>
    <row r="109" spans="1:20" x14ac:dyDescent="0.25">
      <c r="A109" s="7">
        <v>46113</v>
      </c>
      <c r="B109" s="3" t="s">
        <v>32</v>
      </c>
      <c r="C109" s="3" t="s">
        <v>91</v>
      </c>
      <c r="D109" t="str">
        <f>INDEX(Products_T[ProductName],MATCH(C109,Products_T[SKU],0))</f>
        <v>Omo Detergent 900g</v>
      </c>
      <c r="E109" t="str">
        <f>INDEX(Products_T[Category],MATCH(C109,Products_T[SKU],0))</f>
        <v>Household</v>
      </c>
      <c r="F109" t="str">
        <f>INDEX(Products_T[SupplierName],MATCH(C109,Products_T[SKU],0))</f>
        <v>Premier Supplies Ltd</v>
      </c>
      <c r="G109">
        <f t="shared" si="17"/>
        <v>66</v>
      </c>
      <c r="H109" s="3">
        <v>190</v>
      </c>
      <c r="I109" s="3">
        <v>153</v>
      </c>
      <c r="J109" s="3">
        <v>0</v>
      </c>
      <c r="K109" s="3">
        <v>0</v>
      </c>
      <c r="L109">
        <f t="shared" si="18"/>
        <v>103</v>
      </c>
      <c r="M109" s="10">
        <f>L109*INDEX(Products_T[UnitCost],MATCH(C109,Products_T[SKU],0))</f>
        <v>70040</v>
      </c>
      <c r="N109">
        <f>ROUND(INDEX(Products_T[AvgDailyUsage],MATCH(C109,Products_T[SKU],0))*(INDEX(Products_T[AvgLeadTime],MATCH(C109,Products_T[SKU],0))+INDEX(Products_T[LeadTimeRange],MATCH(C109,Products_T[SKU],0)))+INDEX(Products_T[SafetyStock],MATCH(C109,Products_T[SKU],0)),0)</f>
        <v>81</v>
      </c>
      <c r="O109" s="4">
        <f>IFERROR(L109/INDEX(Products_T[AvgDailyUsage],MATCH(C109,Products_T[SKU],0)),0)</f>
        <v>17.758620689655174</v>
      </c>
      <c r="P109" t="str">
        <f t="shared" si="19"/>
        <v>Healthy</v>
      </c>
      <c r="Q109" t="str">
        <f t="shared" si="20"/>
        <v>No</v>
      </c>
      <c r="R109">
        <f t="shared" si="21"/>
        <v>3</v>
      </c>
      <c r="S109" s="2">
        <f t="shared" si="22"/>
        <v>46142</v>
      </c>
      <c r="T109" s="12">
        <f>IFERROR(S109-_xlfn.MAXIFS(Transactions_T[Date],Transactions_T[SKU],C109,Transactions_T[Date],"&lt;="&amp;S109),"")</f>
        <v>4</v>
      </c>
    </row>
    <row r="110" spans="1:20" x14ac:dyDescent="0.25">
      <c r="A110" s="7">
        <v>46113</v>
      </c>
      <c r="B110" s="3" t="s">
        <v>32</v>
      </c>
      <c r="C110" s="3" t="s">
        <v>94</v>
      </c>
      <c r="D110" t="str">
        <f>INDEX(Products_T[ProductName],MATCH(C110,Products_T[SKU],0))</f>
        <v>Harpic Toilet Cleaner</v>
      </c>
      <c r="E110" t="str">
        <f>INDEX(Products_T[Category],MATCH(C110,Products_T[SKU],0))</f>
        <v>Household</v>
      </c>
      <c r="F110" t="str">
        <f>INDEX(Products_T[SupplierName],MATCH(C110,Products_T[SKU],0))</f>
        <v>Bulk Wholesale Co</v>
      </c>
      <c r="G110">
        <f t="shared" si="17"/>
        <v>77</v>
      </c>
      <c r="H110" s="3">
        <v>116</v>
      </c>
      <c r="I110" s="3">
        <v>175</v>
      </c>
      <c r="J110" s="3">
        <v>0</v>
      </c>
      <c r="K110" s="3">
        <v>0</v>
      </c>
      <c r="L110">
        <f t="shared" si="18"/>
        <v>18</v>
      </c>
      <c r="M110" s="10">
        <f>L110*INDEX(Products_T[UnitCost],MATCH(C110,Products_T[SKU],0))</f>
        <v>9360</v>
      </c>
      <c r="N110">
        <f>ROUND(INDEX(Products_T[AvgDailyUsage],MATCH(C110,Products_T[SKU],0))*(INDEX(Products_T[AvgLeadTime],MATCH(C110,Products_T[SKU],0))+INDEX(Products_T[LeadTimeRange],MATCH(C110,Products_T[SKU],0)))+INDEX(Products_T[SafetyStock],MATCH(C110,Products_T[SKU],0)),0)</f>
        <v>56</v>
      </c>
      <c r="O110" s="4">
        <f>IFERROR(L110/INDEX(Products_T[AvgDailyUsage],MATCH(C110,Products_T[SKU],0)),0)</f>
        <v>3.5294117647058827</v>
      </c>
      <c r="P110" t="str">
        <f t="shared" si="19"/>
        <v>Critical</v>
      </c>
      <c r="Q110" t="str">
        <f t="shared" si="20"/>
        <v>Yes</v>
      </c>
      <c r="R110">
        <f t="shared" si="21"/>
        <v>1</v>
      </c>
      <c r="S110" s="2">
        <f t="shared" si="22"/>
        <v>46142</v>
      </c>
      <c r="T110" s="12">
        <f>IFERROR(S110-_xlfn.MAXIFS(Transactions_T[Date],Transactions_T[SKU],C110,Transactions_T[Date],"&lt;="&amp;S110),"")</f>
        <v>11</v>
      </c>
    </row>
    <row r="111" spans="1:20" x14ac:dyDescent="0.25">
      <c r="A111" s="7">
        <v>46113</v>
      </c>
      <c r="B111" s="3" t="s">
        <v>32</v>
      </c>
      <c r="C111" s="3" t="s">
        <v>96</v>
      </c>
      <c r="D111" t="str">
        <f>INDEX(Products_T[ProductName],MATCH(C111,Products_T[SKU],0))</f>
        <v>Hypo Bleach 1L</v>
      </c>
      <c r="E111" t="str">
        <f>INDEX(Products_T[Category],MATCH(C111,Products_T[SKU],0))</f>
        <v>Household</v>
      </c>
      <c r="F111" t="str">
        <f>INDEX(Products_T[SupplierName],MATCH(C111,Products_T[SKU],0))</f>
        <v>Bulk Wholesale Co</v>
      </c>
      <c r="G111">
        <f t="shared" si="17"/>
        <v>48</v>
      </c>
      <c r="H111" s="3">
        <v>144</v>
      </c>
      <c r="I111" s="3">
        <v>192</v>
      </c>
      <c r="J111" s="3">
        <v>0</v>
      </c>
      <c r="K111" s="3">
        <v>0</v>
      </c>
      <c r="L111">
        <f t="shared" si="18"/>
        <v>0</v>
      </c>
      <c r="M111" s="10">
        <f>L111*INDEX(Products_T[UnitCost],MATCH(C111,Products_T[SKU],0))</f>
        <v>0</v>
      </c>
      <c r="N111">
        <f>ROUND(INDEX(Products_T[AvgDailyUsage],MATCH(C111,Products_T[SKU],0))*(INDEX(Products_T[AvgLeadTime],MATCH(C111,Products_T[SKU],0))+INDEX(Products_T[LeadTimeRange],MATCH(C111,Products_T[SKU],0)))+INDEX(Products_T[SafetyStock],MATCH(C111,Products_T[SKU],0)),0)</f>
        <v>70</v>
      </c>
      <c r="O111" s="4">
        <f>IFERROR(L111/INDEX(Products_T[AvgDailyUsage],MATCH(C111,Products_T[SKU],0)),0)</f>
        <v>0</v>
      </c>
      <c r="P111" t="str">
        <f t="shared" si="19"/>
        <v>Out of Stock</v>
      </c>
      <c r="Q111" t="str">
        <f t="shared" si="20"/>
        <v>Yes</v>
      </c>
      <c r="R111">
        <f t="shared" si="21"/>
        <v>0</v>
      </c>
      <c r="S111" s="2">
        <f t="shared" si="22"/>
        <v>46142</v>
      </c>
      <c r="T111" s="12">
        <f>IFERROR(S111-_xlfn.MAXIFS(Transactions_T[Date],Transactions_T[SKU],C111,Transactions_T[Date],"&lt;="&amp;S111),"")</f>
        <v>7</v>
      </c>
    </row>
    <row r="112" spans="1:20" x14ac:dyDescent="0.25">
      <c r="A112" s="7">
        <v>46113</v>
      </c>
      <c r="B112" s="3" t="s">
        <v>32</v>
      </c>
      <c r="C112" s="3" t="s">
        <v>98</v>
      </c>
      <c r="D112" t="str">
        <f>INDEX(Products_T[ProductName],MATCH(C112,Products_T[SKU],0))</f>
        <v>Sunlight Dishwash Liquid</v>
      </c>
      <c r="E112" t="str">
        <f>INDEX(Products_T[Category],MATCH(C112,Products_T[SKU],0))</f>
        <v>Household</v>
      </c>
      <c r="F112" t="str">
        <f>INDEX(Products_T[SupplierName],MATCH(C112,Products_T[SKU],0))</f>
        <v>Premier Supplies Ltd</v>
      </c>
      <c r="G112">
        <f t="shared" si="17"/>
        <v>200</v>
      </c>
      <c r="H112" s="3">
        <v>138</v>
      </c>
      <c r="I112" s="3">
        <v>111</v>
      </c>
      <c r="J112" s="3">
        <v>0</v>
      </c>
      <c r="K112" s="3">
        <v>0</v>
      </c>
      <c r="L112">
        <f t="shared" si="18"/>
        <v>227</v>
      </c>
      <c r="M112" s="10">
        <f>L112*INDEX(Products_T[UnitCost],MATCH(C112,Products_T[SKU],0))</f>
        <v>93070</v>
      </c>
      <c r="N112">
        <f>ROUND(INDEX(Products_T[AvgDailyUsage],MATCH(C112,Products_T[SKU],0))*(INDEX(Products_T[AvgLeadTime],MATCH(C112,Products_T[SKU],0))+INDEX(Products_T[LeadTimeRange],MATCH(C112,Products_T[SKU],0)))+INDEX(Products_T[SafetyStock],MATCH(C112,Products_T[SKU],0)),0)</f>
        <v>61</v>
      </c>
      <c r="O112" s="4">
        <f>IFERROR(L112/INDEX(Products_T[AvgDailyUsage],MATCH(C112,Products_T[SKU],0)),0)</f>
        <v>57.760814249363868</v>
      </c>
      <c r="P112" t="str">
        <f t="shared" si="19"/>
        <v>Overstock</v>
      </c>
      <c r="Q112" t="str">
        <f t="shared" si="20"/>
        <v>No</v>
      </c>
      <c r="R112">
        <f t="shared" si="21"/>
        <v>4</v>
      </c>
      <c r="S112" s="2">
        <f t="shared" si="22"/>
        <v>46142</v>
      </c>
      <c r="T112" s="12">
        <f>IFERROR(S112-_xlfn.MAXIFS(Transactions_T[Date],Transactions_T[SKU],C112,Transactions_T[Date],"&lt;="&amp;S112),"")</f>
        <v>11</v>
      </c>
    </row>
    <row r="113" spans="1:20" x14ac:dyDescent="0.25">
      <c r="A113" s="7">
        <v>46113</v>
      </c>
      <c r="B113" s="3" t="s">
        <v>32</v>
      </c>
      <c r="C113" s="3" t="s">
        <v>100</v>
      </c>
      <c r="D113" t="str">
        <f>INDEX(Products_T[ProductName],MATCH(C113,Products_T[SKU],0))</f>
        <v>Ambipur Air Freshener</v>
      </c>
      <c r="E113" t="str">
        <f>INDEX(Products_T[Category],MATCH(C113,Products_T[SKU],0))</f>
        <v>Household</v>
      </c>
      <c r="F113" t="str">
        <f>INDEX(Products_T[SupplierName],MATCH(C113,Products_T[SKU],0))</f>
        <v>Local Sourcing Ltd</v>
      </c>
      <c r="G113">
        <f t="shared" si="17"/>
        <v>70</v>
      </c>
      <c r="H113" s="3">
        <v>134</v>
      </c>
      <c r="I113" s="3">
        <v>204</v>
      </c>
      <c r="J113" s="3">
        <v>0</v>
      </c>
      <c r="K113" s="3">
        <v>0</v>
      </c>
      <c r="L113">
        <f t="shared" si="18"/>
        <v>0</v>
      </c>
      <c r="M113" s="10">
        <f>L113*INDEX(Products_T[UnitCost],MATCH(C113,Products_T[SKU],0))</f>
        <v>0</v>
      </c>
      <c r="N113">
        <f>ROUND(INDEX(Products_T[AvgDailyUsage],MATCH(C113,Products_T[SKU],0))*(INDEX(Products_T[AvgLeadTime],MATCH(C113,Products_T[SKU],0))+INDEX(Products_T[LeadTimeRange],MATCH(C113,Products_T[SKU],0)))+INDEX(Products_T[SafetyStock],MATCH(C113,Products_T[SKU],0)),0)</f>
        <v>49</v>
      </c>
      <c r="O113" s="4">
        <f>IFERROR(L113/INDEX(Products_T[AvgDailyUsage],MATCH(C113,Products_T[SKU],0)),0)</f>
        <v>0</v>
      </c>
      <c r="P113" t="str">
        <f t="shared" si="19"/>
        <v>Out of Stock</v>
      </c>
      <c r="Q113" t="str">
        <f t="shared" si="20"/>
        <v>Yes</v>
      </c>
      <c r="R113">
        <f t="shared" si="21"/>
        <v>0</v>
      </c>
      <c r="S113" s="2">
        <f t="shared" si="22"/>
        <v>46142</v>
      </c>
      <c r="T113" s="12">
        <f>IFERROR(S113-_xlfn.MAXIFS(Transactions_T[Date],Transactions_T[SKU],C113,Transactions_T[Date],"&lt;="&amp;S113),"")</f>
        <v>10</v>
      </c>
    </row>
    <row r="114" spans="1:20" x14ac:dyDescent="0.25">
      <c r="A114" s="7">
        <v>46113</v>
      </c>
      <c r="B114" s="3" t="s">
        <v>32</v>
      </c>
      <c r="C114" s="3" t="s">
        <v>102</v>
      </c>
      <c r="D114" t="str">
        <f>INDEX(Products_T[ProductName],MATCH(C114,Products_T[SKU],0))</f>
        <v>Rubbermaid Storage Box</v>
      </c>
      <c r="E114" t="str">
        <f>INDEX(Products_T[Category],MATCH(C114,Products_T[SKU],0))</f>
        <v>Household</v>
      </c>
      <c r="F114" t="str">
        <f>INDEX(Products_T[SupplierName],MATCH(C114,Products_T[SKU],0))</f>
        <v>Quality Imports Ltd</v>
      </c>
      <c r="G114">
        <f t="shared" si="17"/>
        <v>281</v>
      </c>
      <c r="H114" s="3">
        <v>0</v>
      </c>
      <c r="I114" s="3">
        <v>0</v>
      </c>
      <c r="J114" s="3">
        <v>0</v>
      </c>
      <c r="K114" s="3">
        <v>0</v>
      </c>
      <c r="L114">
        <f t="shared" si="18"/>
        <v>281</v>
      </c>
      <c r="M114" s="10">
        <f>L114*INDEX(Products_T[UnitCost],MATCH(C114,Products_T[SKU],0))</f>
        <v>786800</v>
      </c>
      <c r="N114">
        <f>ROUND(INDEX(Products_T[AvgDailyUsage],MATCH(C114,Products_T[SKU],0))*(INDEX(Products_T[AvgLeadTime],MATCH(C114,Products_T[SKU],0))+INDEX(Products_T[LeadTimeRange],MATCH(C114,Products_T[SKU],0)))+INDEX(Products_T[SafetyStock],MATCH(C114,Products_T[SKU],0)),0)</f>
        <v>82</v>
      </c>
      <c r="O114" s="4">
        <f>IFERROR(L114/INDEX(Products_T[AvgDailyUsage],MATCH(C114,Products_T[SKU],0)),0)</f>
        <v>47.226890756302517</v>
      </c>
      <c r="P114" t="str">
        <f t="shared" si="19"/>
        <v>Overstock</v>
      </c>
      <c r="Q114" t="str">
        <f t="shared" si="20"/>
        <v>No</v>
      </c>
      <c r="R114">
        <f t="shared" si="21"/>
        <v>4</v>
      </c>
      <c r="S114" s="2">
        <f t="shared" si="22"/>
        <v>46142</v>
      </c>
      <c r="T114" s="12">
        <f>IFERROR(S114-_xlfn.MAXIFS(Transactions_T[Date],Transactions_T[SKU],C114,Transactions_T[Date],"&lt;="&amp;S114),"")</f>
        <v>103</v>
      </c>
    </row>
    <row r="115" spans="1:20" x14ac:dyDescent="0.25">
      <c r="A115" s="7">
        <v>46113</v>
      </c>
      <c r="B115" s="3" t="s">
        <v>32</v>
      </c>
      <c r="C115" s="3" t="s">
        <v>104</v>
      </c>
      <c r="D115" t="str">
        <f>INDEX(Products_T[ProductName],MATCH(C115,Products_T[SKU],0))</f>
        <v>USB-C Charging Cable</v>
      </c>
      <c r="E115" t="str">
        <f>INDEX(Products_T[Category],MATCH(C115,Products_T[SKU],0))</f>
        <v>Electronics Accessories</v>
      </c>
      <c r="F115" t="str">
        <f>INDEX(Products_T[SupplierName],MATCH(C115,Products_T[SKU],0))</f>
        <v>Quality Imports Ltd</v>
      </c>
      <c r="G115">
        <f t="shared" si="17"/>
        <v>30</v>
      </c>
      <c r="H115" s="3">
        <v>62</v>
      </c>
      <c r="I115" s="3">
        <v>86</v>
      </c>
      <c r="J115" s="3">
        <v>0</v>
      </c>
      <c r="K115" s="3">
        <v>0</v>
      </c>
      <c r="L115">
        <f t="shared" si="18"/>
        <v>6</v>
      </c>
      <c r="M115" s="10">
        <f>L115*INDEX(Products_T[UnitCost],MATCH(C115,Products_T[SKU],0))</f>
        <v>10800</v>
      </c>
      <c r="N115">
        <f>ROUND(INDEX(Products_T[AvgDailyUsage],MATCH(C115,Products_T[SKU],0))*(INDEX(Products_T[AvgLeadTime],MATCH(C115,Products_T[SKU],0))+INDEX(Products_T[LeadTimeRange],MATCH(C115,Products_T[SKU],0)))+INDEX(Products_T[SafetyStock],MATCH(C115,Products_T[SKU],0)),0)</f>
        <v>45</v>
      </c>
      <c r="O115" s="4">
        <f>IFERROR(L115/INDEX(Products_T[AvgDailyUsage],MATCH(C115,Products_T[SKU],0)),0)</f>
        <v>2.4096385542168672</v>
      </c>
      <c r="P115" t="str">
        <f t="shared" si="19"/>
        <v>Critical</v>
      </c>
      <c r="Q115" t="str">
        <f t="shared" si="20"/>
        <v>Yes</v>
      </c>
      <c r="R115">
        <f t="shared" si="21"/>
        <v>1</v>
      </c>
      <c r="S115" s="2">
        <f t="shared" si="22"/>
        <v>46142</v>
      </c>
      <c r="T115" s="12">
        <f>IFERROR(S115-_xlfn.MAXIFS(Transactions_T[Date],Transactions_T[SKU],C115,Transactions_T[Date],"&lt;="&amp;S115),"")</f>
        <v>6</v>
      </c>
    </row>
    <row r="116" spans="1:20" x14ac:dyDescent="0.25">
      <c r="A116" s="7">
        <v>46113</v>
      </c>
      <c r="B116" s="3" t="s">
        <v>32</v>
      </c>
      <c r="C116" s="3" t="s">
        <v>107</v>
      </c>
      <c r="D116" t="str">
        <f>INDEX(Products_T[ProductName],MATCH(C116,Products_T[SKU],0))</f>
        <v>Bluetooth Earbuds</v>
      </c>
      <c r="E116" t="str">
        <f>INDEX(Products_T[Category],MATCH(C116,Products_T[SKU],0))</f>
        <v>Electronics Accessories</v>
      </c>
      <c r="F116" t="str">
        <f>INDEX(Products_T[SupplierName],MATCH(C116,Products_T[SKU],0))</f>
        <v>Quality Imports Ltd</v>
      </c>
      <c r="G116">
        <f t="shared" si="17"/>
        <v>0</v>
      </c>
      <c r="H116" s="3">
        <v>85</v>
      </c>
      <c r="I116" s="3">
        <v>62</v>
      </c>
      <c r="J116" s="3">
        <v>0</v>
      </c>
      <c r="K116" s="3">
        <v>0</v>
      </c>
      <c r="L116">
        <f t="shared" si="18"/>
        <v>23</v>
      </c>
      <c r="M116" s="10">
        <f>L116*INDEX(Products_T[UnitCost],MATCH(C116,Products_T[SKU],0))</f>
        <v>195500</v>
      </c>
      <c r="N116">
        <f>ROUND(INDEX(Products_T[AvgDailyUsage],MATCH(C116,Products_T[SKU],0))*(INDEX(Products_T[AvgLeadTime],MATCH(C116,Products_T[SKU],0))+INDEX(Products_T[LeadTimeRange],MATCH(C116,Products_T[SKU],0)))+INDEX(Products_T[SafetyStock],MATCH(C116,Products_T[SKU],0)),0)</f>
        <v>37</v>
      </c>
      <c r="O116" s="4">
        <f>IFERROR(L116/INDEX(Products_T[AvgDailyUsage],MATCH(C116,Products_T[SKU],0)),0)</f>
        <v>10.176991150442479</v>
      </c>
      <c r="P116" t="str">
        <f t="shared" si="19"/>
        <v>Reorder</v>
      </c>
      <c r="Q116" t="str">
        <f t="shared" si="20"/>
        <v>Yes</v>
      </c>
      <c r="R116">
        <f t="shared" si="21"/>
        <v>2</v>
      </c>
      <c r="S116" s="2">
        <f t="shared" si="22"/>
        <v>46142</v>
      </c>
      <c r="T116" s="12">
        <f>IFERROR(S116-_xlfn.MAXIFS(Transactions_T[Date],Transactions_T[SKU],C116,Transactions_T[Date],"&lt;="&amp;S116),"")</f>
        <v>13</v>
      </c>
    </row>
    <row r="117" spans="1:20" x14ac:dyDescent="0.25">
      <c r="A117" s="7">
        <v>46113</v>
      </c>
      <c r="B117" s="3" t="s">
        <v>32</v>
      </c>
      <c r="C117" s="3" t="s">
        <v>109</v>
      </c>
      <c r="D117" t="str">
        <f>INDEX(Products_T[ProductName],MATCH(C117,Products_T[SKU],0))</f>
        <v>HDMI Cable 1.5m</v>
      </c>
      <c r="E117" t="str">
        <f>INDEX(Products_T[Category],MATCH(C117,Products_T[SKU],0))</f>
        <v>Electronics Accessories</v>
      </c>
      <c r="F117" t="str">
        <f>INDEX(Products_T[SupplierName],MATCH(C117,Products_T[SKU],0))</f>
        <v>Quality Imports Ltd</v>
      </c>
      <c r="G117">
        <f t="shared" si="17"/>
        <v>27</v>
      </c>
      <c r="H117" s="3">
        <v>97</v>
      </c>
      <c r="I117" s="3">
        <v>70</v>
      </c>
      <c r="J117" s="3">
        <v>0</v>
      </c>
      <c r="K117" s="3">
        <v>0</v>
      </c>
      <c r="L117">
        <f t="shared" si="18"/>
        <v>54</v>
      </c>
      <c r="M117" s="10">
        <f>L117*INDEX(Products_T[UnitCost],MATCH(C117,Products_T[SKU],0))</f>
        <v>118800</v>
      </c>
      <c r="N117">
        <f>ROUND(INDEX(Products_T[AvgDailyUsage],MATCH(C117,Products_T[SKU],0))*(INDEX(Products_T[AvgLeadTime],MATCH(C117,Products_T[SKU],0))+INDEX(Products_T[LeadTimeRange],MATCH(C117,Products_T[SKU],0)))+INDEX(Products_T[SafetyStock],MATCH(C117,Products_T[SKU],0)),0)</f>
        <v>42</v>
      </c>
      <c r="O117" s="4">
        <f>IFERROR(L117/INDEX(Products_T[AvgDailyUsage],MATCH(C117,Products_T[SKU],0)),0)</f>
        <v>20.454545454545453</v>
      </c>
      <c r="P117" t="str">
        <f t="shared" si="19"/>
        <v>Healthy</v>
      </c>
      <c r="Q117" t="str">
        <f t="shared" si="20"/>
        <v>No</v>
      </c>
      <c r="R117">
        <f t="shared" si="21"/>
        <v>3</v>
      </c>
      <c r="S117" s="2">
        <f t="shared" si="22"/>
        <v>46142</v>
      </c>
      <c r="T117" s="12">
        <f>IFERROR(S117-_xlfn.MAXIFS(Transactions_T[Date],Transactions_T[SKU],C117,Transactions_T[Date],"&lt;="&amp;S117),"")</f>
        <v>10</v>
      </c>
    </row>
    <row r="118" spans="1:20" x14ac:dyDescent="0.25">
      <c r="A118" s="7">
        <v>46113</v>
      </c>
      <c r="B118" s="3" t="s">
        <v>32</v>
      </c>
      <c r="C118" s="3" t="s">
        <v>111</v>
      </c>
      <c r="D118" t="str">
        <f>INDEX(Products_T[ProductName],MATCH(C118,Products_T[SKU],0))</f>
        <v>Power Bank 10000mAh</v>
      </c>
      <c r="E118" t="str">
        <f>INDEX(Products_T[Category],MATCH(C118,Products_T[SKU],0))</f>
        <v>Electronics Accessories</v>
      </c>
      <c r="F118" t="str">
        <f>INDEX(Products_T[SupplierName],MATCH(C118,Products_T[SKU],0))</f>
        <v>Quality Imports Ltd</v>
      </c>
      <c r="G118">
        <f t="shared" si="17"/>
        <v>126</v>
      </c>
      <c r="H118" s="3">
        <v>80</v>
      </c>
      <c r="I118" s="3">
        <v>60</v>
      </c>
      <c r="J118" s="3">
        <v>0</v>
      </c>
      <c r="K118" s="3">
        <v>0</v>
      </c>
      <c r="L118">
        <f t="shared" si="18"/>
        <v>146</v>
      </c>
      <c r="M118" s="10">
        <f>L118*INDEX(Products_T[UnitCost],MATCH(C118,Products_T[SKU],0))</f>
        <v>905200</v>
      </c>
      <c r="N118">
        <f>ROUND(INDEX(Products_T[AvgDailyUsage],MATCH(C118,Products_T[SKU],0))*(INDEX(Products_T[AvgLeadTime],MATCH(C118,Products_T[SKU],0))+INDEX(Products_T[LeadTimeRange],MATCH(C118,Products_T[SKU],0)))+INDEX(Products_T[SafetyStock],MATCH(C118,Products_T[SKU],0)),0)</f>
        <v>37</v>
      </c>
      <c r="O118" s="4">
        <f>IFERROR(L118/INDEX(Products_T[AvgDailyUsage],MATCH(C118,Products_T[SKU],0)),0)</f>
        <v>64.888888888888886</v>
      </c>
      <c r="P118" t="str">
        <f t="shared" si="19"/>
        <v>Overstock</v>
      </c>
      <c r="Q118" t="str">
        <f t="shared" si="20"/>
        <v>No</v>
      </c>
      <c r="R118">
        <f t="shared" si="21"/>
        <v>4</v>
      </c>
      <c r="S118" s="2">
        <f t="shared" si="22"/>
        <v>46142</v>
      </c>
      <c r="T118" s="12">
        <f>IFERROR(S118-_xlfn.MAXIFS(Transactions_T[Date],Transactions_T[SKU],C118,Transactions_T[Date],"&lt;="&amp;S118),"")</f>
        <v>3</v>
      </c>
    </row>
    <row r="119" spans="1:20" x14ac:dyDescent="0.25">
      <c r="A119" s="7">
        <v>46113</v>
      </c>
      <c r="B119" s="3" t="s">
        <v>32</v>
      </c>
      <c r="C119" s="3" t="s">
        <v>113</v>
      </c>
      <c r="D119" t="str">
        <f>INDEX(Products_T[ProductName],MATCH(C119,Products_T[SKU],0))</f>
        <v>Phone Screen Protector</v>
      </c>
      <c r="E119" t="str">
        <f>INDEX(Products_T[Category],MATCH(C119,Products_T[SKU],0))</f>
        <v>Electronics Accessories</v>
      </c>
      <c r="F119" t="str">
        <f>INDEX(Products_T[SupplierName],MATCH(C119,Products_T[SKU],0))</f>
        <v>Quality Imports Ltd</v>
      </c>
      <c r="G119">
        <f t="shared" si="17"/>
        <v>112</v>
      </c>
      <c r="H119" s="3">
        <v>68</v>
      </c>
      <c r="I119" s="3">
        <v>41</v>
      </c>
      <c r="J119" s="3">
        <v>0</v>
      </c>
      <c r="K119" s="3">
        <v>0</v>
      </c>
      <c r="L119">
        <f t="shared" si="18"/>
        <v>139</v>
      </c>
      <c r="M119" s="10">
        <f>L119*INDEX(Products_T[UnitCost],MATCH(C119,Products_T[SKU],0))</f>
        <v>125100</v>
      </c>
      <c r="N119">
        <f>ROUND(INDEX(Products_T[AvgDailyUsage],MATCH(C119,Products_T[SKU],0))*(INDEX(Products_T[AvgLeadTime],MATCH(C119,Products_T[SKU],0))+INDEX(Products_T[LeadTimeRange],MATCH(C119,Products_T[SKU],0)))+INDEX(Products_T[SafetyStock],MATCH(C119,Products_T[SKU],0)),0)</f>
        <v>42</v>
      </c>
      <c r="O119" s="4">
        <f>IFERROR(L119/INDEX(Products_T[AvgDailyUsage],MATCH(C119,Products_T[SKU],0)),0)</f>
        <v>78.089887640449433</v>
      </c>
      <c r="P119" t="str">
        <f t="shared" si="19"/>
        <v>Overstock</v>
      </c>
      <c r="Q119" t="str">
        <f t="shared" si="20"/>
        <v>No</v>
      </c>
      <c r="R119">
        <f t="shared" si="21"/>
        <v>4</v>
      </c>
      <c r="S119" s="2">
        <f t="shared" si="22"/>
        <v>46142</v>
      </c>
      <c r="T119" s="12">
        <f>IFERROR(S119-_xlfn.MAXIFS(Transactions_T[Date],Transactions_T[SKU],C119,Transactions_T[Date],"&lt;="&amp;S119),"")</f>
        <v>10</v>
      </c>
    </row>
    <row r="120" spans="1:20" x14ac:dyDescent="0.25">
      <c r="A120" s="7">
        <v>46113</v>
      </c>
      <c r="B120" s="3" t="s">
        <v>32</v>
      </c>
      <c r="C120" s="3" t="s">
        <v>115</v>
      </c>
      <c r="D120" t="str">
        <f>INDEX(Products_T[ProductName],MATCH(C120,Products_T[SKU],0))</f>
        <v>Wireless Mouse</v>
      </c>
      <c r="E120" t="str">
        <f>INDEX(Products_T[Category],MATCH(C120,Products_T[SKU],0))</f>
        <v>Electronics Accessories</v>
      </c>
      <c r="F120" t="str">
        <f>INDEX(Products_T[SupplierName],MATCH(C120,Products_T[SKU],0))</f>
        <v>Quality Imports Ltd</v>
      </c>
      <c r="G120">
        <f t="shared" si="17"/>
        <v>54</v>
      </c>
      <c r="H120" s="3">
        <v>119</v>
      </c>
      <c r="I120" s="3">
        <v>73</v>
      </c>
      <c r="J120" s="3">
        <v>0</v>
      </c>
      <c r="K120" s="3">
        <v>0</v>
      </c>
      <c r="L120">
        <f t="shared" si="18"/>
        <v>100</v>
      </c>
      <c r="M120" s="10">
        <f>L120*INDEX(Products_T[UnitCost],MATCH(C120,Products_T[SKU],0))</f>
        <v>320000</v>
      </c>
      <c r="N120">
        <f>ROUND(INDEX(Products_T[AvgDailyUsage],MATCH(C120,Products_T[SKU],0))*(INDEX(Products_T[AvgLeadTime],MATCH(C120,Products_T[SKU],0))+INDEX(Products_T[LeadTimeRange],MATCH(C120,Products_T[SKU],0)))+INDEX(Products_T[SafetyStock],MATCH(C120,Products_T[SKU],0)),0)</f>
        <v>47</v>
      </c>
      <c r="O120" s="4">
        <f>IFERROR(L120/INDEX(Products_T[AvgDailyUsage],MATCH(C120,Products_T[SKU],0)),0)</f>
        <v>32.573289902280131</v>
      </c>
      <c r="P120" t="str">
        <f t="shared" si="19"/>
        <v>Overstock</v>
      </c>
      <c r="Q120" t="str">
        <f t="shared" si="20"/>
        <v>No</v>
      </c>
      <c r="R120">
        <f t="shared" si="21"/>
        <v>4</v>
      </c>
      <c r="S120" s="2">
        <f t="shared" si="22"/>
        <v>46142</v>
      </c>
      <c r="T120" s="12">
        <f>IFERROR(S120-_xlfn.MAXIFS(Transactions_T[Date],Transactions_T[SKU],C120,Transactions_T[Date],"&lt;="&amp;S120),"")</f>
        <v>8</v>
      </c>
    </row>
    <row r="121" spans="1:20" x14ac:dyDescent="0.25">
      <c r="A121" s="7">
        <v>46113</v>
      </c>
      <c r="B121" s="3" t="s">
        <v>32</v>
      </c>
      <c r="C121" s="3" t="s">
        <v>117</v>
      </c>
      <c r="D121" t="str">
        <f>INDEX(Products_T[ProductName],MATCH(C121,Products_T[SKU],0))</f>
        <v>Extension Socket 4-way</v>
      </c>
      <c r="E121" t="str">
        <f>INDEX(Products_T[Category],MATCH(C121,Products_T[SKU],0))</f>
        <v>Electronics Accessories</v>
      </c>
      <c r="F121" t="str">
        <f>INDEX(Products_T[SupplierName],MATCH(C121,Products_T[SKU],0))</f>
        <v>Quality Imports Ltd</v>
      </c>
      <c r="G121">
        <f t="shared" si="17"/>
        <v>62</v>
      </c>
      <c r="H121" s="3">
        <v>46</v>
      </c>
      <c r="I121" s="3">
        <v>56</v>
      </c>
      <c r="J121" s="3">
        <v>0</v>
      </c>
      <c r="K121" s="3">
        <v>0</v>
      </c>
      <c r="L121">
        <f t="shared" si="18"/>
        <v>52</v>
      </c>
      <c r="M121" s="10">
        <f>L121*INDEX(Products_T[UnitCost],MATCH(C121,Products_T[SKU],0))</f>
        <v>135200</v>
      </c>
      <c r="N121">
        <f>ROUND(INDEX(Products_T[AvgDailyUsage],MATCH(C121,Products_T[SKU],0))*(INDEX(Products_T[AvgLeadTime],MATCH(C121,Products_T[SKU],0))+INDEX(Products_T[LeadTimeRange],MATCH(C121,Products_T[SKU],0)))+INDEX(Products_T[SafetyStock],MATCH(C121,Products_T[SKU],0)),0)</f>
        <v>31</v>
      </c>
      <c r="O121" s="4">
        <f>IFERROR(L121/INDEX(Products_T[AvgDailyUsage],MATCH(C121,Products_T[SKU],0)),0)</f>
        <v>30.588235294117649</v>
      </c>
      <c r="P121" t="str">
        <f t="shared" si="19"/>
        <v>Healthy</v>
      </c>
      <c r="Q121" t="str">
        <f t="shared" si="20"/>
        <v>No</v>
      </c>
      <c r="R121">
        <f t="shared" si="21"/>
        <v>3</v>
      </c>
      <c r="S121" s="2">
        <f t="shared" si="22"/>
        <v>46142</v>
      </c>
      <c r="T121" s="12">
        <f>IFERROR(S121-_xlfn.MAXIFS(Transactions_T[Date],Transactions_T[SKU],C121,Transactions_T[Date],"&lt;="&amp;S121),"")</f>
        <v>3</v>
      </c>
    </row>
    <row r="122" spans="1:20" x14ac:dyDescent="0.25">
      <c r="A122" s="7">
        <v>46143</v>
      </c>
      <c r="B122" s="3" t="s">
        <v>33</v>
      </c>
      <c r="C122" s="3" t="s">
        <v>54</v>
      </c>
      <c r="D122" t="str">
        <f>INDEX(Products_T[ProductName],MATCH(C122,Products_T[SKU],0))</f>
        <v>Coca-Cola 1.5L</v>
      </c>
      <c r="E122" t="str">
        <f>INDEX(Products_T[Category],MATCH(C122,Products_T[SKU],0))</f>
        <v>Beverages</v>
      </c>
      <c r="F122" t="str">
        <f>INDEX(Products_T[SupplierName],MATCH(C122,Products_T[SKU],0))</f>
        <v>Global Distributors Ltd</v>
      </c>
      <c r="G122">
        <f t="shared" si="17"/>
        <v>455</v>
      </c>
      <c r="H122" s="3">
        <v>266</v>
      </c>
      <c r="I122" s="3">
        <v>205</v>
      </c>
      <c r="J122" s="3">
        <v>0</v>
      </c>
      <c r="K122" s="3">
        <v>0</v>
      </c>
      <c r="L122">
        <f t="shared" si="18"/>
        <v>516</v>
      </c>
      <c r="M122" s="10">
        <f>L122*INDEX(Products_T[UnitCost],MATCH(C122,Products_T[SKU],0))</f>
        <v>129000</v>
      </c>
      <c r="N122">
        <f>ROUND(INDEX(Products_T[AvgDailyUsage],MATCH(C122,Products_T[SKU],0))*(INDEX(Products_T[AvgLeadTime],MATCH(C122,Products_T[SKU],0))+INDEX(Products_T[LeadTimeRange],MATCH(C122,Products_T[SKU],0)))+INDEX(Products_T[SafetyStock],MATCH(C122,Products_T[SKU],0)),0)</f>
        <v>81</v>
      </c>
      <c r="O122" s="4">
        <f>IFERROR(L122/INDEX(Products_T[AvgDailyUsage],MATCH(C122,Products_T[SKU],0)),0)</f>
        <v>70.976616231086666</v>
      </c>
      <c r="P122" t="str">
        <f t="shared" si="19"/>
        <v>Overstock</v>
      </c>
      <c r="Q122" t="str">
        <f t="shared" si="20"/>
        <v>No</v>
      </c>
      <c r="R122">
        <f t="shared" si="21"/>
        <v>4</v>
      </c>
      <c r="S122" s="2">
        <f t="shared" si="22"/>
        <v>46173</v>
      </c>
      <c r="T122" s="12">
        <f>IFERROR(S122-_xlfn.MAXIFS(Transactions_T[Date],Transactions_T[SKU],C122,Transactions_T[Date],"&lt;="&amp;S122),"")</f>
        <v>12</v>
      </c>
    </row>
    <row r="123" spans="1:20" x14ac:dyDescent="0.25">
      <c r="A123" s="7">
        <v>46143</v>
      </c>
      <c r="B123" s="3" t="s">
        <v>33</v>
      </c>
      <c r="C123" s="3" t="s">
        <v>57</v>
      </c>
      <c r="D123" t="str">
        <f>INDEX(Products_T[ProductName],MATCH(C123,Products_T[SKU],0))</f>
        <v>Sprite 1.5L</v>
      </c>
      <c r="E123" t="str">
        <f>INDEX(Products_T[Category],MATCH(C123,Products_T[SKU],0))</f>
        <v>Beverages</v>
      </c>
      <c r="F123" t="str">
        <f>INDEX(Products_T[SupplierName],MATCH(C123,Products_T[SKU],0))</f>
        <v>Global Distributors Ltd</v>
      </c>
      <c r="G123">
        <f t="shared" si="17"/>
        <v>0</v>
      </c>
      <c r="H123" s="3">
        <v>257</v>
      </c>
      <c r="I123" s="3">
        <v>257</v>
      </c>
      <c r="J123" s="3">
        <v>0</v>
      </c>
      <c r="K123" s="3">
        <v>0</v>
      </c>
      <c r="L123">
        <f t="shared" si="18"/>
        <v>0</v>
      </c>
      <c r="M123" s="10">
        <f>L123*INDEX(Products_T[UnitCost],MATCH(C123,Products_T[SKU],0))</f>
        <v>0</v>
      </c>
      <c r="N123">
        <f>ROUND(INDEX(Products_T[AvgDailyUsage],MATCH(C123,Products_T[SKU],0))*(INDEX(Products_T[AvgLeadTime],MATCH(C123,Products_T[SKU],0))+INDEX(Products_T[LeadTimeRange],MATCH(C123,Products_T[SKU],0)))+INDEX(Products_T[SafetyStock],MATCH(C123,Products_T[SKU],0)),0)</f>
        <v>109</v>
      </c>
      <c r="O123" s="4">
        <f>IFERROR(L123/INDEX(Products_T[AvgDailyUsage],MATCH(C123,Products_T[SKU],0)),0)</f>
        <v>0</v>
      </c>
      <c r="P123" t="str">
        <f t="shared" si="19"/>
        <v>Out of Stock</v>
      </c>
      <c r="Q123" t="str">
        <f t="shared" si="20"/>
        <v>Yes</v>
      </c>
      <c r="R123">
        <f t="shared" si="21"/>
        <v>0</v>
      </c>
      <c r="S123" s="2">
        <f t="shared" si="22"/>
        <v>46173</v>
      </c>
      <c r="T123" s="12">
        <f>IFERROR(S123-_xlfn.MAXIFS(Transactions_T[Date],Transactions_T[SKU],C123,Transactions_T[Date],"&lt;="&amp;S123),"")</f>
        <v>4</v>
      </c>
    </row>
    <row r="124" spans="1:20" x14ac:dyDescent="0.25">
      <c r="A124" s="7">
        <v>46143</v>
      </c>
      <c r="B124" s="3" t="s">
        <v>33</v>
      </c>
      <c r="C124" s="3" t="s">
        <v>59</v>
      </c>
      <c r="D124" t="str">
        <f>INDEX(Products_T[ProductName],MATCH(C124,Products_T[SKU],0))</f>
        <v>Fanta 1.5L</v>
      </c>
      <c r="E124" t="str">
        <f>INDEX(Products_T[Category],MATCH(C124,Products_T[SKU],0))</f>
        <v>Beverages</v>
      </c>
      <c r="F124" t="str">
        <f>INDEX(Products_T[SupplierName],MATCH(C124,Products_T[SKU],0))</f>
        <v>Quality Imports Ltd</v>
      </c>
      <c r="G124">
        <f t="shared" si="17"/>
        <v>135</v>
      </c>
      <c r="H124" s="3">
        <v>279</v>
      </c>
      <c r="I124" s="3">
        <v>414</v>
      </c>
      <c r="J124" s="3">
        <v>0</v>
      </c>
      <c r="K124" s="3">
        <v>0</v>
      </c>
      <c r="L124">
        <f t="shared" si="18"/>
        <v>0</v>
      </c>
      <c r="M124" s="10">
        <f>L124*INDEX(Products_T[UnitCost],MATCH(C124,Products_T[SKU],0))</f>
        <v>0</v>
      </c>
      <c r="N124">
        <f>ROUND(INDEX(Products_T[AvgDailyUsage],MATCH(C124,Products_T[SKU],0))*(INDEX(Products_T[AvgLeadTime],MATCH(C124,Products_T[SKU],0))+INDEX(Products_T[LeadTimeRange],MATCH(C124,Products_T[SKU],0)))+INDEX(Products_T[SafetyStock],MATCH(C124,Products_T[SKU],0)),0)</f>
        <v>170</v>
      </c>
      <c r="O124" s="4">
        <f>IFERROR(L124/INDEX(Products_T[AvgDailyUsage],MATCH(C124,Products_T[SKU],0)),0)</f>
        <v>0</v>
      </c>
      <c r="P124" t="str">
        <f t="shared" si="19"/>
        <v>Out of Stock</v>
      </c>
      <c r="Q124" t="str">
        <f t="shared" si="20"/>
        <v>Yes</v>
      </c>
      <c r="R124">
        <f t="shared" si="21"/>
        <v>0</v>
      </c>
      <c r="S124" s="2">
        <f t="shared" si="22"/>
        <v>46173</v>
      </c>
      <c r="T124" s="12">
        <f>IFERROR(S124-_xlfn.MAXIFS(Transactions_T[Date],Transactions_T[SKU],C124,Transactions_T[Date],"&lt;="&amp;S124),"")</f>
        <v>14</v>
      </c>
    </row>
    <row r="125" spans="1:20" x14ac:dyDescent="0.25">
      <c r="A125" s="7">
        <v>46143</v>
      </c>
      <c r="B125" s="3" t="s">
        <v>33</v>
      </c>
      <c r="C125" s="3" t="s">
        <v>61</v>
      </c>
      <c r="D125" t="str">
        <f>INDEX(Products_T[ProductName],MATCH(C125,Products_T[SKU],0))</f>
        <v>Bottled Water 75cl</v>
      </c>
      <c r="E125" t="str">
        <f>INDEX(Products_T[Category],MATCH(C125,Products_T[SKU],0))</f>
        <v>Beverages</v>
      </c>
      <c r="F125" t="str">
        <f>INDEX(Products_T[SupplierName],MATCH(C125,Products_T[SKU],0))</f>
        <v>Bulk Wholesale Co</v>
      </c>
      <c r="G125">
        <f t="shared" si="17"/>
        <v>444</v>
      </c>
      <c r="H125" s="3">
        <v>286</v>
      </c>
      <c r="I125" s="3">
        <v>176</v>
      </c>
      <c r="J125" s="3">
        <v>0</v>
      </c>
      <c r="K125" s="3">
        <v>0</v>
      </c>
      <c r="L125">
        <f t="shared" si="18"/>
        <v>554</v>
      </c>
      <c r="M125" s="10">
        <f>L125*INDEX(Products_T[UnitCost],MATCH(C125,Products_T[SKU],0))</f>
        <v>55400</v>
      </c>
      <c r="N125">
        <f>ROUND(INDEX(Products_T[AvgDailyUsage],MATCH(C125,Products_T[SKU],0))*(INDEX(Products_T[AvgLeadTime],MATCH(C125,Products_T[SKU],0))+INDEX(Products_T[LeadTimeRange],MATCH(C125,Products_T[SKU],0)))+INDEX(Products_T[SafetyStock],MATCH(C125,Products_T[SKU],0)),0)</f>
        <v>95</v>
      </c>
      <c r="O125" s="4">
        <f>IFERROR(L125/INDEX(Products_T[AvgDailyUsage],MATCH(C125,Products_T[SKU],0)),0)</f>
        <v>71.116816431322206</v>
      </c>
      <c r="P125" t="str">
        <f t="shared" si="19"/>
        <v>Overstock</v>
      </c>
      <c r="Q125" t="str">
        <f t="shared" si="20"/>
        <v>No</v>
      </c>
      <c r="R125">
        <f t="shared" si="21"/>
        <v>4</v>
      </c>
      <c r="S125" s="2">
        <f t="shared" si="22"/>
        <v>46173</v>
      </c>
      <c r="T125" s="12">
        <f>IFERROR(S125-_xlfn.MAXIFS(Transactions_T[Date],Transactions_T[SKU],C125,Transactions_T[Date],"&lt;="&amp;S125),"")</f>
        <v>3</v>
      </c>
    </row>
    <row r="126" spans="1:20" x14ac:dyDescent="0.25">
      <c r="A126" s="7">
        <v>46143</v>
      </c>
      <c r="B126" s="3" t="s">
        <v>33</v>
      </c>
      <c r="C126" s="3" t="s">
        <v>63</v>
      </c>
      <c r="D126" t="str">
        <f>INDEX(Products_T[ProductName],MATCH(C126,Products_T[SKU],0))</f>
        <v>Malt Drink 33cl</v>
      </c>
      <c r="E126" t="str">
        <f>INDEX(Products_T[Category],MATCH(C126,Products_T[SKU],0))</f>
        <v>Beverages</v>
      </c>
      <c r="F126" t="str">
        <f>INDEX(Products_T[SupplierName],MATCH(C126,Products_T[SKU],0))</f>
        <v>Global Distributors Ltd</v>
      </c>
      <c r="G126">
        <f t="shared" si="17"/>
        <v>0</v>
      </c>
      <c r="H126" s="3">
        <v>248</v>
      </c>
      <c r="I126" s="3">
        <v>248</v>
      </c>
      <c r="J126" s="3">
        <v>0</v>
      </c>
      <c r="K126" s="3">
        <v>0</v>
      </c>
      <c r="L126">
        <f t="shared" si="18"/>
        <v>0</v>
      </c>
      <c r="M126" s="10">
        <f>L126*INDEX(Products_T[UnitCost],MATCH(C126,Products_T[SKU],0))</f>
        <v>0</v>
      </c>
      <c r="N126">
        <f>ROUND(INDEX(Products_T[AvgDailyUsage],MATCH(C126,Products_T[SKU],0))*(INDEX(Products_T[AvgLeadTime],MATCH(C126,Products_T[SKU],0))+INDEX(Products_T[LeadTimeRange],MATCH(C126,Products_T[SKU],0)))+INDEX(Products_T[SafetyStock],MATCH(C126,Products_T[SKU],0)),0)</f>
        <v>105</v>
      </c>
      <c r="O126" s="4">
        <f>IFERROR(L126/INDEX(Products_T[AvgDailyUsage],MATCH(C126,Products_T[SKU],0)),0)</f>
        <v>0</v>
      </c>
      <c r="P126" t="str">
        <f t="shared" si="19"/>
        <v>Out of Stock</v>
      </c>
      <c r="Q126" t="str">
        <f t="shared" si="20"/>
        <v>Yes</v>
      </c>
      <c r="R126">
        <f t="shared" si="21"/>
        <v>0</v>
      </c>
      <c r="S126" s="2">
        <f t="shared" si="22"/>
        <v>46173</v>
      </c>
      <c r="T126" s="12">
        <f>IFERROR(S126-_xlfn.MAXIFS(Transactions_T[Date],Transactions_T[SKU],C126,Transactions_T[Date],"&lt;="&amp;S126),"")</f>
        <v>7</v>
      </c>
    </row>
    <row r="127" spans="1:20" x14ac:dyDescent="0.25">
      <c r="A127" s="7">
        <v>46143</v>
      </c>
      <c r="B127" s="3" t="s">
        <v>33</v>
      </c>
      <c r="C127" s="3" t="s">
        <v>65</v>
      </c>
      <c r="D127" t="str">
        <f>INDEX(Products_T[ProductName],MATCH(C127,Products_T[SKU],0))</f>
        <v>Colgate Toothpaste 100ml</v>
      </c>
      <c r="E127" t="str">
        <f>INDEX(Products_T[Category],MATCH(C127,Products_T[SKU],0))</f>
        <v>Personal Care</v>
      </c>
      <c r="F127" t="str">
        <f>INDEX(Products_T[SupplierName],MATCH(C127,Products_T[SKU],0))</f>
        <v>Premier Supplies Ltd</v>
      </c>
      <c r="G127">
        <f t="shared" si="17"/>
        <v>239</v>
      </c>
      <c r="H127" s="3">
        <v>0</v>
      </c>
      <c r="I127" s="3">
        <v>0</v>
      </c>
      <c r="J127" s="3">
        <v>0</v>
      </c>
      <c r="K127" s="3">
        <v>0</v>
      </c>
      <c r="L127">
        <f t="shared" si="18"/>
        <v>239</v>
      </c>
      <c r="M127" s="10">
        <f>L127*INDEX(Products_T[UnitCost],MATCH(C127,Products_T[SKU],0))</f>
        <v>107550</v>
      </c>
      <c r="N127">
        <f>ROUND(INDEX(Products_T[AvgDailyUsage],MATCH(C127,Products_T[SKU],0))*(INDEX(Products_T[AvgLeadTime],MATCH(C127,Products_T[SKU],0))+INDEX(Products_T[LeadTimeRange],MATCH(C127,Products_T[SKU],0)))+INDEX(Products_T[SafetyStock],MATCH(C127,Products_T[SKU],0)),0)</f>
        <v>68</v>
      </c>
      <c r="O127" s="4">
        <f>IFERROR(L127/INDEX(Products_T[AvgDailyUsage],MATCH(C127,Products_T[SKU],0)),0)</f>
        <v>51.843817787418651</v>
      </c>
      <c r="P127" t="str">
        <f t="shared" si="19"/>
        <v>Overstock</v>
      </c>
      <c r="Q127" t="str">
        <f t="shared" si="20"/>
        <v>No</v>
      </c>
      <c r="R127">
        <f t="shared" si="21"/>
        <v>4</v>
      </c>
      <c r="S127" s="2">
        <f t="shared" si="22"/>
        <v>46173</v>
      </c>
      <c r="T127" s="12">
        <f>IFERROR(S127-_xlfn.MAXIFS(Transactions_T[Date],Transactions_T[SKU],C127,Transactions_T[Date],"&lt;="&amp;S127),"")</f>
        <v>105</v>
      </c>
    </row>
    <row r="128" spans="1:20" x14ac:dyDescent="0.25">
      <c r="A128" s="7">
        <v>46143</v>
      </c>
      <c r="B128" s="3" t="s">
        <v>33</v>
      </c>
      <c r="C128" s="3" t="s">
        <v>68</v>
      </c>
      <c r="D128" t="str">
        <f>INDEX(Products_T[ProductName],MATCH(C128,Products_T[SKU],0))</f>
        <v>Dettol Soap 100g</v>
      </c>
      <c r="E128" t="str">
        <f>INDEX(Products_T[Category],MATCH(C128,Products_T[SKU],0))</f>
        <v>Personal Care</v>
      </c>
      <c r="F128" t="str">
        <f>INDEX(Products_T[SupplierName],MATCH(C128,Products_T[SKU],0))</f>
        <v>Premier Supplies Ltd</v>
      </c>
      <c r="G128">
        <f t="shared" ref="G128:G159" si="23">L98</f>
        <v>136</v>
      </c>
      <c r="H128" s="3">
        <v>132</v>
      </c>
      <c r="I128" s="3">
        <v>184</v>
      </c>
      <c r="J128" s="3">
        <v>0</v>
      </c>
      <c r="K128" s="3">
        <v>0</v>
      </c>
      <c r="L128">
        <f t="shared" si="18"/>
        <v>84</v>
      </c>
      <c r="M128" s="10">
        <f>L128*INDEX(Products_T[UnitCost],MATCH(C128,Products_T[SKU],0))</f>
        <v>18480</v>
      </c>
      <c r="N128">
        <f>ROUND(INDEX(Products_T[AvgDailyUsage],MATCH(C128,Products_T[SKU],0))*(INDEX(Products_T[AvgLeadTime],MATCH(C128,Products_T[SKU],0))+INDEX(Products_T[LeadTimeRange],MATCH(C128,Products_T[SKU],0)))+INDEX(Products_T[SafetyStock],MATCH(C128,Products_T[SKU],0)),0)</f>
        <v>73</v>
      </c>
      <c r="O128" s="4">
        <f>IFERROR(L128/INDEX(Products_T[AvgDailyUsage],MATCH(C128,Products_T[SKU],0)),0)</f>
        <v>16.699801192842941</v>
      </c>
      <c r="P128" t="str">
        <f t="shared" si="19"/>
        <v>Healthy</v>
      </c>
      <c r="Q128" t="str">
        <f t="shared" si="20"/>
        <v>No</v>
      </c>
      <c r="R128">
        <f t="shared" si="21"/>
        <v>3</v>
      </c>
      <c r="S128" s="2">
        <f t="shared" si="22"/>
        <v>46173</v>
      </c>
      <c r="T128" s="12">
        <f>IFERROR(S128-_xlfn.MAXIFS(Transactions_T[Date],Transactions_T[SKU],C128,Transactions_T[Date],"&lt;="&amp;S128),"")</f>
        <v>5</v>
      </c>
    </row>
    <row r="129" spans="1:20" x14ac:dyDescent="0.25">
      <c r="A129" s="7">
        <v>46143</v>
      </c>
      <c r="B129" s="3" t="s">
        <v>33</v>
      </c>
      <c r="C129" s="3" t="s">
        <v>70</v>
      </c>
      <c r="D129" t="str">
        <f>INDEX(Products_T[ProductName],MATCH(C129,Products_T[SKU],0))</f>
        <v>Sunsilk Shampoo 200ml</v>
      </c>
      <c r="E129" t="str">
        <f>INDEX(Products_T[Category],MATCH(C129,Products_T[SKU],0))</f>
        <v>Personal Care</v>
      </c>
      <c r="F129" t="str">
        <f>INDEX(Products_T[SupplierName],MATCH(C129,Products_T[SKU],0))</f>
        <v>Premier Supplies Ltd</v>
      </c>
      <c r="G129">
        <f t="shared" si="23"/>
        <v>119</v>
      </c>
      <c r="H129" s="3">
        <v>222</v>
      </c>
      <c r="I129" s="3">
        <v>258</v>
      </c>
      <c r="J129" s="3">
        <v>0</v>
      </c>
      <c r="K129" s="3">
        <v>0</v>
      </c>
      <c r="L129">
        <f t="shared" si="18"/>
        <v>83</v>
      </c>
      <c r="M129" s="10">
        <f>L129*INDEX(Products_T[UnitCost],MATCH(C129,Products_T[SKU],0))</f>
        <v>45650</v>
      </c>
      <c r="N129">
        <f>ROUND(INDEX(Products_T[AvgDailyUsage],MATCH(C129,Products_T[SKU],0))*(INDEX(Products_T[AvgLeadTime],MATCH(C129,Products_T[SKU],0))+INDEX(Products_T[LeadTimeRange],MATCH(C129,Products_T[SKU],0)))+INDEX(Products_T[SafetyStock],MATCH(C129,Products_T[SKU],0)),0)</f>
        <v>108</v>
      </c>
      <c r="O129" s="4">
        <f>IFERROR(L129/INDEX(Products_T[AvgDailyUsage],MATCH(C129,Products_T[SKU],0)),0)</f>
        <v>10.440251572327044</v>
      </c>
      <c r="P129" t="str">
        <f t="shared" si="19"/>
        <v>Reorder</v>
      </c>
      <c r="Q129" t="str">
        <f t="shared" si="20"/>
        <v>Yes</v>
      </c>
      <c r="R129">
        <f t="shared" si="21"/>
        <v>2</v>
      </c>
      <c r="S129" s="2">
        <f t="shared" si="22"/>
        <v>46173</v>
      </c>
      <c r="T129" s="12">
        <f>IFERROR(S129-_xlfn.MAXIFS(Transactions_T[Date],Transactions_T[SKU],C129,Transactions_T[Date],"&lt;="&amp;S129),"")</f>
        <v>11</v>
      </c>
    </row>
    <row r="130" spans="1:20" x14ac:dyDescent="0.25">
      <c r="A130" s="7">
        <v>46143</v>
      </c>
      <c r="B130" s="3" t="s">
        <v>33</v>
      </c>
      <c r="C130" s="3" t="s">
        <v>72</v>
      </c>
      <c r="D130" t="str">
        <f>INDEX(Products_T[ProductName],MATCH(C130,Products_T[SKU],0))</f>
        <v>Vaseline Lotion 400ml</v>
      </c>
      <c r="E130" t="str">
        <f>INDEX(Products_T[Category],MATCH(C130,Products_T[SKU],0))</f>
        <v>Personal Care</v>
      </c>
      <c r="F130" t="str">
        <f>INDEX(Products_T[SupplierName],MATCH(C130,Products_T[SKU],0))</f>
        <v>Local Sourcing Ltd</v>
      </c>
      <c r="G130">
        <f t="shared" si="23"/>
        <v>29</v>
      </c>
      <c r="H130" s="3">
        <v>314</v>
      </c>
      <c r="I130" s="3">
        <v>198</v>
      </c>
      <c r="J130" s="3">
        <v>0</v>
      </c>
      <c r="K130" s="3">
        <v>0</v>
      </c>
      <c r="L130">
        <f t="shared" ref="L130:L161" si="24">MAX(G130+H130-I130-J130+K130,0)</f>
        <v>145</v>
      </c>
      <c r="M130" s="10">
        <f>L130*INDEX(Products_T[UnitCost],MATCH(C130,Products_T[SKU],0))</f>
        <v>89900</v>
      </c>
      <c r="N130">
        <f>ROUND(INDEX(Products_T[AvgDailyUsage],MATCH(C130,Products_T[SKU],0))*(INDEX(Products_T[AvgLeadTime],MATCH(C130,Products_T[SKU],0))+INDEX(Products_T[LeadTimeRange],MATCH(C130,Products_T[SKU],0)))+INDEX(Products_T[SafetyStock],MATCH(C130,Products_T[SKU],0)),0)</f>
        <v>67</v>
      </c>
      <c r="O130" s="4">
        <f>IFERROR(L130/INDEX(Products_T[AvgDailyUsage],MATCH(C130,Products_T[SKU],0)),0)</f>
        <v>16.60939289805269</v>
      </c>
      <c r="P130" t="str">
        <f t="shared" ref="P130:P161" si="25">IF(L130=0,"Out of Stock",IF(L130&lt;0.5*N130,"Critical",IF(L130&lt;=N130,"Reorder",IF(L130&gt;2*N130,"Overstock","Healthy"))))</f>
        <v>Overstock</v>
      </c>
      <c r="Q130" t="str">
        <f t="shared" ref="Q130:Q161" si="26">IF(OR(P130="Out of Stock",P130="Critical",P130="Reorder"),"Yes","No")</f>
        <v>No</v>
      </c>
      <c r="R130">
        <f t="shared" ref="R130:R161" si="27">_xlfn.SWITCH(P130,"Out of Stock",0,"Critical",1,"Reorder",2,"Healthy",3,"Overstock",4,5)</f>
        <v>4</v>
      </c>
      <c r="S130" s="2">
        <f t="shared" ref="S130:S161" si="28">EOMONTH(A130,0)</f>
        <v>46173</v>
      </c>
      <c r="T130" s="12">
        <f>IFERROR(S130-_xlfn.MAXIFS(Transactions_T[Date],Transactions_T[SKU],C130,Transactions_T[Date],"&lt;="&amp;S130),"")</f>
        <v>13</v>
      </c>
    </row>
    <row r="131" spans="1:20" x14ac:dyDescent="0.25">
      <c r="A131" s="7">
        <v>46143</v>
      </c>
      <c r="B131" s="3" t="s">
        <v>33</v>
      </c>
      <c r="C131" s="3" t="s">
        <v>74</v>
      </c>
      <c r="D131" t="str">
        <f>INDEX(Products_T[ProductName],MATCH(C131,Products_T[SKU],0))</f>
        <v>Always Sanitary Pads</v>
      </c>
      <c r="E131" t="str">
        <f>INDEX(Products_T[Category],MATCH(C131,Products_T[SKU],0))</f>
        <v>Personal Care</v>
      </c>
      <c r="F131" t="str">
        <f>INDEX(Products_T[SupplierName],MATCH(C131,Products_T[SKU],0))</f>
        <v>Premier Supplies Ltd</v>
      </c>
      <c r="G131">
        <f t="shared" si="23"/>
        <v>8</v>
      </c>
      <c r="H131" s="3">
        <v>184</v>
      </c>
      <c r="I131" s="3">
        <v>123</v>
      </c>
      <c r="J131" s="3">
        <v>0</v>
      </c>
      <c r="K131" s="3">
        <v>0</v>
      </c>
      <c r="L131">
        <f t="shared" si="24"/>
        <v>69</v>
      </c>
      <c r="M131" s="10">
        <f>L131*INDEX(Products_T[UnitCost],MATCH(C131,Products_T[SKU],0))</f>
        <v>26220</v>
      </c>
      <c r="N131">
        <f>ROUND(INDEX(Products_T[AvgDailyUsage],MATCH(C131,Products_T[SKU],0))*(INDEX(Products_T[AvgLeadTime],MATCH(C131,Products_T[SKU],0))+INDEX(Products_T[LeadTimeRange],MATCH(C131,Products_T[SKU],0)))+INDEX(Products_T[SafetyStock],MATCH(C131,Products_T[SKU],0)),0)</f>
        <v>75</v>
      </c>
      <c r="O131" s="4">
        <f>IFERROR(L131/INDEX(Products_T[AvgDailyUsage],MATCH(C131,Products_T[SKU],0)),0)</f>
        <v>13.269230769230768</v>
      </c>
      <c r="P131" t="str">
        <f t="shared" si="25"/>
        <v>Reorder</v>
      </c>
      <c r="Q131" t="str">
        <f t="shared" si="26"/>
        <v>Yes</v>
      </c>
      <c r="R131">
        <f t="shared" si="27"/>
        <v>2</v>
      </c>
      <c r="S131" s="2">
        <f t="shared" si="28"/>
        <v>46173</v>
      </c>
      <c r="T131" s="12">
        <f>IFERROR(S131-_xlfn.MAXIFS(Transactions_T[Date],Transactions_T[SKU],C131,Transactions_T[Date],"&lt;="&amp;S131),"")</f>
        <v>8</v>
      </c>
    </row>
    <row r="132" spans="1:20" x14ac:dyDescent="0.25">
      <c r="A132" s="7">
        <v>46143</v>
      </c>
      <c r="B132" s="3" t="s">
        <v>33</v>
      </c>
      <c r="C132" s="3" t="s">
        <v>76</v>
      </c>
      <c r="D132" t="str">
        <f>INDEX(Products_T[ProductName],MATCH(C132,Products_T[SKU],0))</f>
        <v>Indomie Noodles Carton</v>
      </c>
      <c r="E132" t="str">
        <f>INDEX(Products_T[Category],MATCH(C132,Products_T[SKU],0))</f>
        <v>Packaged Foods</v>
      </c>
      <c r="F132" t="str">
        <f>INDEX(Products_T[SupplierName],MATCH(C132,Products_T[SKU],0))</f>
        <v>Bulk Wholesale Co</v>
      </c>
      <c r="G132">
        <f t="shared" si="23"/>
        <v>0</v>
      </c>
      <c r="H132" s="3">
        <v>277</v>
      </c>
      <c r="I132" s="3">
        <v>196</v>
      </c>
      <c r="J132" s="3">
        <v>0</v>
      </c>
      <c r="K132" s="3">
        <v>0</v>
      </c>
      <c r="L132">
        <f t="shared" si="24"/>
        <v>81</v>
      </c>
      <c r="M132" s="10">
        <f>L132*INDEX(Products_T[UnitCost],MATCH(C132,Products_T[SKU],0))</f>
        <v>340200</v>
      </c>
      <c r="N132">
        <f>ROUND(INDEX(Products_T[AvgDailyUsage],MATCH(C132,Products_T[SKU],0))*(INDEX(Products_T[AvgLeadTime],MATCH(C132,Products_T[SKU],0))+INDEX(Products_T[LeadTimeRange],MATCH(C132,Products_T[SKU],0)))+INDEX(Products_T[SafetyStock],MATCH(C132,Products_T[SKU],0)),0)</f>
        <v>69</v>
      </c>
      <c r="O132" s="4">
        <f>IFERROR(L132/INDEX(Products_T[AvgDailyUsage],MATCH(C132,Products_T[SKU],0)),0)</f>
        <v>10.505836575875486</v>
      </c>
      <c r="P132" t="str">
        <f t="shared" si="25"/>
        <v>Healthy</v>
      </c>
      <c r="Q132" t="str">
        <f t="shared" si="26"/>
        <v>No</v>
      </c>
      <c r="R132">
        <f t="shared" si="27"/>
        <v>3</v>
      </c>
      <c r="S132" s="2">
        <f t="shared" si="28"/>
        <v>46173</v>
      </c>
      <c r="T132" s="12">
        <f>IFERROR(S132-_xlfn.MAXIFS(Transactions_T[Date],Transactions_T[SKU],C132,Transactions_T[Date],"&lt;="&amp;S132),"")</f>
        <v>9</v>
      </c>
    </row>
    <row r="133" spans="1:20" x14ac:dyDescent="0.25">
      <c r="A133" s="7">
        <v>46143</v>
      </c>
      <c r="B133" s="3" t="s">
        <v>33</v>
      </c>
      <c r="C133" s="3" t="s">
        <v>79</v>
      </c>
      <c r="D133" t="str">
        <f>INDEX(Products_T[ProductName],MATCH(C133,Products_T[SKU],0))</f>
        <v>Golden Penny Semovita 1kg</v>
      </c>
      <c r="E133" t="str">
        <f>INDEX(Products_T[Category],MATCH(C133,Products_T[SKU],0))</f>
        <v>Packaged Foods</v>
      </c>
      <c r="F133" t="str">
        <f>INDEX(Products_T[SupplierName],MATCH(C133,Products_T[SKU],0))</f>
        <v>Bulk Wholesale Co</v>
      </c>
      <c r="G133">
        <f t="shared" si="23"/>
        <v>67</v>
      </c>
      <c r="H133" s="3">
        <v>259</v>
      </c>
      <c r="I133" s="3">
        <v>168</v>
      </c>
      <c r="J133" s="3">
        <v>0</v>
      </c>
      <c r="K133" s="3">
        <v>0</v>
      </c>
      <c r="L133">
        <f t="shared" si="24"/>
        <v>158</v>
      </c>
      <c r="M133" s="10">
        <f>L133*INDEX(Products_T[UnitCost],MATCH(C133,Products_T[SKU],0))</f>
        <v>134300</v>
      </c>
      <c r="N133">
        <f>ROUND(INDEX(Products_T[AvgDailyUsage],MATCH(C133,Products_T[SKU],0))*(INDEX(Products_T[AvgLeadTime],MATCH(C133,Products_T[SKU],0))+INDEX(Products_T[LeadTimeRange],MATCH(C133,Products_T[SKU],0)))+INDEX(Products_T[SafetyStock],MATCH(C133,Products_T[SKU],0)),0)</f>
        <v>69</v>
      </c>
      <c r="O133" s="4">
        <f>IFERROR(L133/INDEX(Products_T[AvgDailyUsage],MATCH(C133,Products_T[SKU],0)),0)</f>
        <v>22.475106685633001</v>
      </c>
      <c r="P133" t="str">
        <f t="shared" si="25"/>
        <v>Overstock</v>
      </c>
      <c r="Q133" t="str">
        <f t="shared" si="26"/>
        <v>No</v>
      </c>
      <c r="R133">
        <f t="shared" si="27"/>
        <v>4</v>
      </c>
      <c r="S133" s="2">
        <f t="shared" si="28"/>
        <v>46173</v>
      </c>
      <c r="T133" s="12">
        <f>IFERROR(S133-_xlfn.MAXIFS(Transactions_T[Date],Transactions_T[SKU],C133,Transactions_T[Date],"&lt;="&amp;S133),"")</f>
        <v>8</v>
      </c>
    </row>
    <row r="134" spans="1:20" x14ac:dyDescent="0.25">
      <c r="A134" s="7">
        <v>46143</v>
      </c>
      <c r="B134" s="3" t="s">
        <v>33</v>
      </c>
      <c r="C134" s="3" t="s">
        <v>81</v>
      </c>
      <c r="D134" t="str">
        <f>INDEX(Products_T[ProductName],MATCH(C134,Products_T[SKU],0))</f>
        <v>Peak Milk Tin 400g</v>
      </c>
      <c r="E134" t="str">
        <f>INDEX(Products_T[Category],MATCH(C134,Products_T[SKU],0))</f>
        <v>Packaged Foods</v>
      </c>
      <c r="F134" t="str">
        <f>INDEX(Products_T[SupplierName],MATCH(C134,Products_T[SKU],0))</f>
        <v>Global Distributors Ltd</v>
      </c>
      <c r="G134">
        <f t="shared" si="23"/>
        <v>406</v>
      </c>
      <c r="H134" s="3">
        <v>203</v>
      </c>
      <c r="I134" s="3">
        <v>266</v>
      </c>
      <c r="J134" s="3">
        <v>0</v>
      </c>
      <c r="K134" s="3">
        <v>0</v>
      </c>
      <c r="L134">
        <f t="shared" si="24"/>
        <v>343</v>
      </c>
      <c r="M134" s="10">
        <f>L134*INDEX(Products_T[UnitCost],MATCH(C134,Products_T[SKU],0))</f>
        <v>233240</v>
      </c>
      <c r="N134">
        <f>ROUND(INDEX(Products_T[AvgDailyUsage],MATCH(C134,Products_T[SKU],0))*(INDEX(Products_T[AvgLeadTime],MATCH(C134,Products_T[SKU],0))+INDEX(Products_T[LeadTimeRange],MATCH(C134,Products_T[SKU],0)))+INDEX(Products_T[SafetyStock],MATCH(C134,Products_T[SKU],0)),0)</f>
        <v>85</v>
      </c>
      <c r="O134" s="4">
        <f>IFERROR(L134/INDEX(Products_T[AvgDailyUsage],MATCH(C134,Products_T[SKU],0)),0)</f>
        <v>47.506925207756233</v>
      </c>
      <c r="P134" t="str">
        <f t="shared" si="25"/>
        <v>Overstock</v>
      </c>
      <c r="Q134" t="str">
        <f t="shared" si="26"/>
        <v>No</v>
      </c>
      <c r="R134">
        <f t="shared" si="27"/>
        <v>4</v>
      </c>
      <c r="S134" s="2">
        <f t="shared" si="28"/>
        <v>46173</v>
      </c>
      <c r="T134" s="12">
        <f>IFERROR(S134-_xlfn.MAXIFS(Transactions_T[Date],Transactions_T[SKU],C134,Transactions_T[Date],"&lt;="&amp;S134),"")</f>
        <v>15</v>
      </c>
    </row>
    <row r="135" spans="1:20" x14ac:dyDescent="0.25">
      <c r="A135" s="7">
        <v>46143</v>
      </c>
      <c r="B135" s="3" t="s">
        <v>33</v>
      </c>
      <c r="C135" s="3" t="s">
        <v>83</v>
      </c>
      <c r="D135" t="str">
        <f>INDEX(Products_T[ProductName],MATCH(C135,Products_T[SKU],0))</f>
        <v>Dangote Pasta 500g</v>
      </c>
      <c r="E135" t="str">
        <f>INDEX(Products_T[Category],MATCH(C135,Products_T[SKU],0))</f>
        <v>Packaged Foods</v>
      </c>
      <c r="F135" t="str">
        <f>INDEX(Products_T[SupplierName],MATCH(C135,Products_T[SKU],0))</f>
        <v>Bulk Wholesale Co</v>
      </c>
      <c r="G135">
        <f t="shared" si="23"/>
        <v>0</v>
      </c>
      <c r="H135" s="3">
        <v>223</v>
      </c>
      <c r="I135" s="3">
        <v>161</v>
      </c>
      <c r="J135" s="3">
        <v>0</v>
      </c>
      <c r="K135" s="3">
        <v>0</v>
      </c>
      <c r="L135">
        <f t="shared" si="24"/>
        <v>62</v>
      </c>
      <c r="M135" s="10">
        <f>L135*INDEX(Products_T[UnitCost],MATCH(C135,Products_T[SKU],0))</f>
        <v>19840</v>
      </c>
      <c r="N135">
        <f>ROUND(INDEX(Products_T[AvgDailyUsage],MATCH(C135,Products_T[SKU],0))*(INDEX(Products_T[AvgLeadTime],MATCH(C135,Products_T[SKU],0))+INDEX(Products_T[LeadTimeRange],MATCH(C135,Products_T[SKU],0)))+INDEX(Products_T[SafetyStock],MATCH(C135,Products_T[SKU],0)),0)</f>
        <v>78</v>
      </c>
      <c r="O135" s="4">
        <f>IFERROR(L135/INDEX(Products_T[AvgDailyUsage],MATCH(C135,Products_T[SKU],0)),0)</f>
        <v>9.1042584434654916</v>
      </c>
      <c r="P135" t="str">
        <f t="shared" si="25"/>
        <v>Reorder</v>
      </c>
      <c r="Q135" t="str">
        <f t="shared" si="26"/>
        <v>Yes</v>
      </c>
      <c r="R135">
        <f t="shared" si="27"/>
        <v>2</v>
      </c>
      <c r="S135" s="2">
        <f t="shared" si="28"/>
        <v>46173</v>
      </c>
      <c r="T135" s="12">
        <f>IFERROR(S135-_xlfn.MAXIFS(Transactions_T[Date],Transactions_T[SKU],C135,Transactions_T[Date],"&lt;="&amp;S135),"")</f>
        <v>12</v>
      </c>
    </row>
    <row r="136" spans="1:20" x14ac:dyDescent="0.25">
      <c r="A136" s="7">
        <v>46143</v>
      </c>
      <c r="B136" s="3" t="s">
        <v>33</v>
      </c>
      <c r="C136" s="3" t="s">
        <v>85</v>
      </c>
      <c r="D136" t="str">
        <f>INDEX(Products_T[ProductName],MATCH(C136,Products_T[SKU],0))</f>
        <v>Kings Vegetable Oil 1L</v>
      </c>
      <c r="E136" t="str">
        <f>INDEX(Products_T[Category],MATCH(C136,Products_T[SKU],0))</f>
        <v>Packaged Foods</v>
      </c>
      <c r="F136" t="str">
        <f>INDEX(Products_T[SupplierName],MATCH(C136,Products_T[SKU],0))</f>
        <v>Global Distributors Ltd</v>
      </c>
      <c r="G136">
        <f t="shared" si="23"/>
        <v>31</v>
      </c>
      <c r="H136" s="3">
        <v>119</v>
      </c>
      <c r="I136" s="3">
        <v>84</v>
      </c>
      <c r="J136" s="3">
        <v>0</v>
      </c>
      <c r="K136" s="3">
        <v>0</v>
      </c>
      <c r="L136">
        <f t="shared" si="24"/>
        <v>66</v>
      </c>
      <c r="M136" s="10">
        <f>L136*INDEX(Products_T[UnitCost],MATCH(C136,Products_T[SKU],0))</f>
        <v>95700</v>
      </c>
      <c r="N136">
        <f>ROUND(INDEX(Products_T[AvgDailyUsage],MATCH(C136,Products_T[SKU],0))*(INDEX(Products_T[AvgLeadTime],MATCH(C136,Products_T[SKU],0))+INDEX(Products_T[LeadTimeRange],MATCH(C136,Products_T[SKU],0)))+INDEX(Products_T[SafetyStock],MATCH(C136,Products_T[SKU],0)),0)</f>
        <v>46</v>
      </c>
      <c r="O136" s="4">
        <f>IFERROR(L136/INDEX(Products_T[AvgDailyUsage],MATCH(C136,Products_T[SKU],0)),0)</f>
        <v>21.221864951768488</v>
      </c>
      <c r="P136" t="str">
        <f t="shared" si="25"/>
        <v>Healthy</v>
      </c>
      <c r="Q136" t="str">
        <f t="shared" si="26"/>
        <v>No</v>
      </c>
      <c r="R136">
        <f t="shared" si="27"/>
        <v>3</v>
      </c>
      <c r="S136" s="2">
        <f t="shared" si="28"/>
        <v>46173</v>
      </c>
      <c r="T136" s="12">
        <f>IFERROR(S136-_xlfn.MAXIFS(Transactions_T[Date],Transactions_T[SKU],C136,Transactions_T[Date],"&lt;="&amp;S136),"")</f>
        <v>15</v>
      </c>
    </row>
    <row r="137" spans="1:20" x14ac:dyDescent="0.25">
      <c r="A137" s="7">
        <v>46143</v>
      </c>
      <c r="B137" s="3" t="s">
        <v>33</v>
      </c>
      <c r="C137" s="3" t="s">
        <v>87</v>
      </c>
      <c r="D137" t="str">
        <f>INDEX(Products_T[ProductName],MATCH(C137,Products_T[SKU],0))</f>
        <v>Titus Sardine Tin</v>
      </c>
      <c r="E137" t="str">
        <f>INDEX(Products_T[Category],MATCH(C137,Products_T[SKU],0))</f>
        <v>Packaged Foods</v>
      </c>
      <c r="F137" t="str">
        <f>INDEX(Products_T[SupplierName],MATCH(C137,Products_T[SKU],0))</f>
        <v>Bulk Wholesale Co</v>
      </c>
      <c r="G137">
        <f t="shared" si="23"/>
        <v>121</v>
      </c>
      <c r="H137" s="3">
        <v>178</v>
      </c>
      <c r="I137" s="3">
        <v>130</v>
      </c>
      <c r="J137" s="3">
        <v>0</v>
      </c>
      <c r="K137" s="3">
        <v>0</v>
      </c>
      <c r="L137">
        <f t="shared" si="24"/>
        <v>169</v>
      </c>
      <c r="M137" s="10">
        <f>L137*INDEX(Products_T[UnitCost],MATCH(C137,Products_T[SKU],0))</f>
        <v>98020</v>
      </c>
      <c r="N137">
        <f>ROUND(INDEX(Products_T[AvgDailyUsage],MATCH(C137,Products_T[SKU],0))*(INDEX(Products_T[AvgLeadTime],MATCH(C137,Products_T[SKU],0))+INDEX(Products_T[LeadTimeRange],MATCH(C137,Products_T[SKU],0)))+INDEX(Products_T[SafetyStock],MATCH(C137,Products_T[SKU],0)),0)</f>
        <v>52</v>
      </c>
      <c r="O137" s="4">
        <f>IFERROR(L137/INDEX(Products_T[AvgDailyUsage],MATCH(C137,Products_T[SKU],0)),0)</f>
        <v>31.947069943289225</v>
      </c>
      <c r="P137" t="str">
        <f t="shared" si="25"/>
        <v>Overstock</v>
      </c>
      <c r="Q137" t="str">
        <f t="shared" si="26"/>
        <v>No</v>
      </c>
      <c r="R137">
        <f t="shared" si="27"/>
        <v>4</v>
      </c>
      <c r="S137" s="2">
        <f t="shared" si="28"/>
        <v>46173</v>
      </c>
      <c r="T137" s="12">
        <f>IFERROR(S137-_xlfn.MAXIFS(Transactions_T[Date],Transactions_T[SKU],C137,Transactions_T[Date],"&lt;="&amp;S137),"")</f>
        <v>7</v>
      </c>
    </row>
    <row r="138" spans="1:20" x14ac:dyDescent="0.25">
      <c r="A138" s="7">
        <v>46143</v>
      </c>
      <c r="B138" s="3" t="s">
        <v>33</v>
      </c>
      <c r="C138" s="3" t="s">
        <v>89</v>
      </c>
      <c r="D138" t="str">
        <f>INDEX(Products_T[ProductName],MATCH(C138,Products_T[SKU],0))</f>
        <v>Nasco Cornflakes 500g</v>
      </c>
      <c r="E138" t="str">
        <f>INDEX(Products_T[Category],MATCH(C138,Products_T[SKU],0))</f>
        <v>Packaged Foods</v>
      </c>
      <c r="F138" t="str">
        <f>INDEX(Products_T[SupplierName],MATCH(C138,Products_T[SKU],0))</f>
        <v>Quality Imports Ltd</v>
      </c>
      <c r="G138">
        <f t="shared" si="23"/>
        <v>162</v>
      </c>
      <c r="H138" s="3">
        <v>0</v>
      </c>
      <c r="I138" s="3">
        <v>0</v>
      </c>
      <c r="J138" s="3">
        <v>0</v>
      </c>
      <c r="K138" s="3">
        <v>0</v>
      </c>
      <c r="L138">
        <f t="shared" si="24"/>
        <v>162</v>
      </c>
      <c r="M138" s="10">
        <f>L138*INDEX(Products_T[UnitCost],MATCH(C138,Products_T[SKU],0))</f>
        <v>153900</v>
      </c>
      <c r="N138">
        <f>ROUND(INDEX(Products_T[AvgDailyUsage],MATCH(C138,Products_T[SKU],0))*(INDEX(Products_T[AvgLeadTime],MATCH(C138,Products_T[SKU],0))+INDEX(Products_T[LeadTimeRange],MATCH(C138,Products_T[SKU],0)))+INDEX(Products_T[SafetyStock],MATCH(C138,Products_T[SKU],0)),0)</f>
        <v>85</v>
      </c>
      <c r="O138" s="4">
        <f>IFERROR(L138/INDEX(Products_T[AvgDailyUsage],MATCH(C138,Products_T[SKU],0)),0)</f>
        <v>30.223880597014922</v>
      </c>
      <c r="P138" t="str">
        <f t="shared" si="25"/>
        <v>Healthy</v>
      </c>
      <c r="Q138" t="str">
        <f t="shared" si="26"/>
        <v>No</v>
      </c>
      <c r="R138">
        <f t="shared" si="27"/>
        <v>3</v>
      </c>
      <c r="S138" s="2">
        <f t="shared" si="28"/>
        <v>46173</v>
      </c>
      <c r="T138" s="12">
        <f>IFERROR(S138-_xlfn.MAXIFS(Transactions_T[Date],Transactions_T[SKU],C138,Transactions_T[Date],"&lt;="&amp;S138),"")</f>
        <v>65</v>
      </c>
    </row>
    <row r="139" spans="1:20" x14ac:dyDescent="0.25">
      <c r="A139" s="7">
        <v>46143</v>
      </c>
      <c r="B139" s="3" t="s">
        <v>33</v>
      </c>
      <c r="C139" s="3" t="s">
        <v>91</v>
      </c>
      <c r="D139" t="str">
        <f>INDEX(Products_T[ProductName],MATCH(C139,Products_T[SKU],0))</f>
        <v>Omo Detergent 900g</v>
      </c>
      <c r="E139" t="str">
        <f>INDEX(Products_T[Category],MATCH(C139,Products_T[SKU],0))</f>
        <v>Household</v>
      </c>
      <c r="F139" t="str">
        <f>INDEX(Products_T[SupplierName],MATCH(C139,Products_T[SKU],0))</f>
        <v>Premier Supplies Ltd</v>
      </c>
      <c r="G139">
        <f t="shared" si="23"/>
        <v>103</v>
      </c>
      <c r="H139" s="3">
        <v>146</v>
      </c>
      <c r="I139" s="3">
        <v>202</v>
      </c>
      <c r="J139" s="3">
        <v>0</v>
      </c>
      <c r="K139" s="3">
        <v>0</v>
      </c>
      <c r="L139">
        <f t="shared" si="24"/>
        <v>47</v>
      </c>
      <c r="M139" s="10">
        <f>L139*INDEX(Products_T[UnitCost],MATCH(C139,Products_T[SKU],0))</f>
        <v>31960</v>
      </c>
      <c r="N139">
        <f>ROUND(INDEX(Products_T[AvgDailyUsage],MATCH(C139,Products_T[SKU],0))*(INDEX(Products_T[AvgLeadTime],MATCH(C139,Products_T[SKU],0))+INDEX(Products_T[LeadTimeRange],MATCH(C139,Products_T[SKU],0)))+INDEX(Products_T[SafetyStock],MATCH(C139,Products_T[SKU],0)),0)</f>
        <v>81</v>
      </c>
      <c r="O139" s="4">
        <f>IFERROR(L139/INDEX(Products_T[AvgDailyUsage],MATCH(C139,Products_T[SKU],0)),0)</f>
        <v>8.1034482758620694</v>
      </c>
      <c r="P139" t="str">
        <f t="shared" si="25"/>
        <v>Reorder</v>
      </c>
      <c r="Q139" t="str">
        <f t="shared" si="26"/>
        <v>Yes</v>
      </c>
      <c r="R139">
        <f t="shared" si="27"/>
        <v>2</v>
      </c>
      <c r="S139" s="2">
        <f t="shared" si="28"/>
        <v>46173</v>
      </c>
      <c r="T139" s="12">
        <f>IFERROR(S139-_xlfn.MAXIFS(Transactions_T[Date],Transactions_T[SKU],C139,Transactions_T[Date],"&lt;="&amp;S139),"")</f>
        <v>8</v>
      </c>
    </row>
    <row r="140" spans="1:20" x14ac:dyDescent="0.25">
      <c r="A140" s="7">
        <v>46143</v>
      </c>
      <c r="B140" s="3" t="s">
        <v>33</v>
      </c>
      <c r="C140" s="3" t="s">
        <v>94</v>
      </c>
      <c r="D140" t="str">
        <f>INDEX(Products_T[ProductName],MATCH(C140,Products_T[SKU],0))</f>
        <v>Harpic Toilet Cleaner</v>
      </c>
      <c r="E140" t="str">
        <f>INDEX(Products_T[Category],MATCH(C140,Products_T[SKU],0))</f>
        <v>Household</v>
      </c>
      <c r="F140" t="str">
        <f>INDEX(Products_T[SupplierName],MATCH(C140,Products_T[SKU],0))</f>
        <v>Bulk Wholesale Co</v>
      </c>
      <c r="G140">
        <f t="shared" si="23"/>
        <v>18</v>
      </c>
      <c r="H140" s="3">
        <v>133</v>
      </c>
      <c r="I140" s="3">
        <v>151</v>
      </c>
      <c r="J140" s="3">
        <v>0</v>
      </c>
      <c r="K140" s="3">
        <v>0</v>
      </c>
      <c r="L140">
        <f t="shared" si="24"/>
        <v>0</v>
      </c>
      <c r="M140" s="10">
        <f>L140*INDEX(Products_T[UnitCost],MATCH(C140,Products_T[SKU],0))</f>
        <v>0</v>
      </c>
      <c r="N140">
        <f>ROUND(INDEX(Products_T[AvgDailyUsage],MATCH(C140,Products_T[SKU],0))*(INDEX(Products_T[AvgLeadTime],MATCH(C140,Products_T[SKU],0))+INDEX(Products_T[LeadTimeRange],MATCH(C140,Products_T[SKU],0)))+INDEX(Products_T[SafetyStock],MATCH(C140,Products_T[SKU],0)),0)</f>
        <v>56</v>
      </c>
      <c r="O140" s="4">
        <f>IFERROR(L140/INDEX(Products_T[AvgDailyUsage],MATCH(C140,Products_T[SKU],0)),0)</f>
        <v>0</v>
      </c>
      <c r="P140" t="str">
        <f t="shared" si="25"/>
        <v>Out of Stock</v>
      </c>
      <c r="Q140" t="str">
        <f t="shared" si="26"/>
        <v>Yes</v>
      </c>
      <c r="R140">
        <f t="shared" si="27"/>
        <v>0</v>
      </c>
      <c r="S140" s="2">
        <f t="shared" si="28"/>
        <v>46173</v>
      </c>
      <c r="T140" s="12">
        <f>IFERROR(S140-_xlfn.MAXIFS(Transactions_T[Date],Transactions_T[SKU],C140,Transactions_T[Date],"&lt;="&amp;S140),"")</f>
        <v>15</v>
      </c>
    </row>
    <row r="141" spans="1:20" x14ac:dyDescent="0.25">
      <c r="A141" s="7">
        <v>46143</v>
      </c>
      <c r="B141" s="3" t="s">
        <v>33</v>
      </c>
      <c r="C141" s="3" t="s">
        <v>96</v>
      </c>
      <c r="D141" t="str">
        <f>INDEX(Products_T[ProductName],MATCH(C141,Products_T[SKU],0))</f>
        <v>Hypo Bleach 1L</v>
      </c>
      <c r="E141" t="str">
        <f>INDEX(Products_T[Category],MATCH(C141,Products_T[SKU],0))</f>
        <v>Household</v>
      </c>
      <c r="F141" t="str">
        <f>INDEX(Products_T[SupplierName],MATCH(C141,Products_T[SKU],0))</f>
        <v>Bulk Wholesale Co</v>
      </c>
      <c r="G141">
        <f t="shared" si="23"/>
        <v>0</v>
      </c>
      <c r="H141" s="3">
        <v>193</v>
      </c>
      <c r="I141" s="3">
        <v>161</v>
      </c>
      <c r="J141" s="3">
        <v>0</v>
      </c>
      <c r="K141" s="3">
        <v>0</v>
      </c>
      <c r="L141">
        <f t="shared" si="24"/>
        <v>32</v>
      </c>
      <c r="M141" s="10">
        <f>L141*INDEX(Products_T[UnitCost],MATCH(C141,Products_T[SKU],0))</f>
        <v>10880</v>
      </c>
      <c r="N141">
        <f>ROUND(INDEX(Products_T[AvgDailyUsage],MATCH(C141,Products_T[SKU],0))*(INDEX(Products_T[AvgLeadTime],MATCH(C141,Products_T[SKU],0))+INDEX(Products_T[LeadTimeRange],MATCH(C141,Products_T[SKU],0)))+INDEX(Products_T[SafetyStock],MATCH(C141,Products_T[SKU],0)),0)</f>
        <v>70</v>
      </c>
      <c r="O141" s="4">
        <f>IFERROR(L141/INDEX(Products_T[AvgDailyUsage],MATCH(C141,Products_T[SKU],0)),0)</f>
        <v>5.6140350877192979</v>
      </c>
      <c r="P141" t="str">
        <f t="shared" si="25"/>
        <v>Critical</v>
      </c>
      <c r="Q141" t="str">
        <f t="shared" si="26"/>
        <v>Yes</v>
      </c>
      <c r="R141">
        <f t="shared" si="27"/>
        <v>1</v>
      </c>
      <c r="S141" s="2">
        <f t="shared" si="28"/>
        <v>46173</v>
      </c>
      <c r="T141" s="12">
        <f>IFERROR(S141-_xlfn.MAXIFS(Transactions_T[Date],Transactions_T[SKU],C141,Transactions_T[Date],"&lt;="&amp;S141),"")</f>
        <v>15</v>
      </c>
    </row>
    <row r="142" spans="1:20" x14ac:dyDescent="0.25">
      <c r="A142" s="7">
        <v>46143</v>
      </c>
      <c r="B142" s="3" t="s">
        <v>33</v>
      </c>
      <c r="C142" s="3" t="s">
        <v>98</v>
      </c>
      <c r="D142" t="str">
        <f>INDEX(Products_T[ProductName],MATCH(C142,Products_T[SKU],0))</f>
        <v>Sunlight Dishwash Liquid</v>
      </c>
      <c r="E142" t="str">
        <f>INDEX(Products_T[Category],MATCH(C142,Products_T[SKU],0))</f>
        <v>Household</v>
      </c>
      <c r="F142" t="str">
        <f>INDEX(Products_T[SupplierName],MATCH(C142,Products_T[SKU],0))</f>
        <v>Premier Supplies Ltd</v>
      </c>
      <c r="G142">
        <f t="shared" si="23"/>
        <v>227</v>
      </c>
      <c r="H142" s="3">
        <v>128</v>
      </c>
      <c r="I142" s="3">
        <v>106</v>
      </c>
      <c r="J142" s="3">
        <v>0</v>
      </c>
      <c r="K142" s="3">
        <v>0</v>
      </c>
      <c r="L142">
        <f t="shared" si="24"/>
        <v>249</v>
      </c>
      <c r="M142" s="10">
        <f>L142*INDEX(Products_T[UnitCost],MATCH(C142,Products_T[SKU],0))</f>
        <v>102090</v>
      </c>
      <c r="N142">
        <f>ROUND(INDEX(Products_T[AvgDailyUsage],MATCH(C142,Products_T[SKU],0))*(INDEX(Products_T[AvgLeadTime],MATCH(C142,Products_T[SKU],0))+INDEX(Products_T[LeadTimeRange],MATCH(C142,Products_T[SKU],0)))+INDEX(Products_T[SafetyStock],MATCH(C142,Products_T[SKU],0)),0)</f>
        <v>61</v>
      </c>
      <c r="O142" s="4">
        <f>IFERROR(L142/INDEX(Products_T[AvgDailyUsage],MATCH(C142,Products_T[SKU],0)),0)</f>
        <v>63.358778625954194</v>
      </c>
      <c r="P142" t="str">
        <f t="shared" si="25"/>
        <v>Overstock</v>
      </c>
      <c r="Q142" t="str">
        <f t="shared" si="26"/>
        <v>No</v>
      </c>
      <c r="R142">
        <f t="shared" si="27"/>
        <v>4</v>
      </c>
      <c r="S142" s="2">
        <f t="shared" si="28"/>
        <v>46173</v>
      </c>
      <c r="T142" s="12">
        <f>IFERROR(S142-_xlfn.MAXIFS(Transactions_T[Date],Transactions_T[SKU],C142,Transactions_T[Date],"&lt;="&amp;S142),"")</f>
        <v>16</v>
      </c>
    </row>
    <row r="143" spans="1:20" x14ac:dyDescent="0.25">
      <c r="A143" s="7">
        <v>46143</v>
      </c>
      <c r="B143" s="3" t="s">
        <v>33</v>
      </c>
      <c r="C143" s="3" t="s">
        <v>100</v>
      </c>
      <c r="D143" t="str">
        <f>INDEX(Products_T[ProductName],MATCH(C143,Products_T[SKU],0))</f>
        <v>Ambipur Air Freshener</v>
      </c>
      <c r="E143" t="str">
        <f>INDEX(Products_T[Category],MATCH(C143,Products_T[SKU],0))</f>
        <v>Household</v>
      </c>
      <c r="F143" t="str">
        <f>INDEX(Products_T[SupplierName],MATCH(C143,Products_T[SKU],0))</f>
        <v>Local Sourcing Ltd</v>
      </c>
      <c r="G143">
        <f t="shared" si="23"/>
        <v>0</v>
      </c>
      <c r="H143" s="3">
        <v>218</v>
      </c>
      <c r="I143" s="3">
        <v>141</v>
      </c>
      <c r="J143" s="3">
        <v>0</v>
      </c>
      <c r="K143" s="3">
        <v>0</v>
      </c>
      <c r="L143">
        <f t="shared" si="24"/>
        <v>77</v>
      </c>
      <c r="M143" s="10">
        <f>L143*INDEX(Products_T[UnitCost],MATCH(C143,Products_T[SKU],0))</f>
        <v>57750</v>
      </c>
      <c r="N143">
        <f>ROUND(INDEX(Products_T[AvgDailyUsage],MATCH(C143,Products_T[SKU],0))*(INDEX(Products_T[AvgLeadTime],MATCH(C143,Products_T[SKU],0))+INDEX(Products_T[LeadTimeRange],MATCH(C143,Products_T[SKU],0)))+INDEX(Products_T[SafetyStock],MATCH(C143,Products_T[SKU],0)),0)</f>
        <v>49</v>
      </c>
      <c r="O143" s="4">
        <f>IFERROR(L143/INDEX(Products_T[AvgDailyUsage],MATCH(C143,Products_T[SKU],0)),0)</f>
        <v>13.628318584070795</v>
      </c>
      <c r="P143" t="str">
        <f t="shared" si="25"/>
        <v>Healthy</v>
      </c>
      <c r="Q143" t="str">
        <f t="shared" si="26"/>
        <v>No</v>
      </c>
      <c r="R143">
        <f t="shared" si="27"/>
        <v>3</v>
      </c>
      <c r="S143" s="2">
        <f t="shared" si="28"/>
        <v>46173</v>
      </c>
      <c r="T143" s="12">
        <f>IFERROR(S143-_xlfn.MAXIFS(Transactions_T[Date],Transactions_T[SKU],C143,Transactions_T[Date],"&lt;="&amp;S143),"")</f>
        <v>12</v>
      </c>
    </row>
    <row r="144" spans="1:20" x14ac:dyDescent="0.25">
      <c r="A144" s="7">
        <v>46143</v>
      </c>
      <c r="B144" s="3" t="s">
        <v>33</v>
      </c>
      <c r="C144" s="3" t="s">
        <v>102</v>
      </c>
      <c r="D144" t="str">
        <f>INDEX(Products_T[ProductName],MATCH(C144,Products_T[SKU],0))</f>
        <v>Rubbermaid Storage Box</v>
      </c>
      <c r="E144" t="str">
        <f>INDEX(Products_T[Category],MATCH(C144,Products_T[SKU],0))</f>
        <v>Household</v>
      </c>
      <c r="F144" t="str">
        <f>INDEX(Products_T[SupplierName],MATCH(C144,Products_T[SKU],0))</f>
        <v>Quality Imports Ltd</v>
      </c>
      <c r="G144">
        <f t="shared" si="23"/>
        <v>281</v>
      </c>
      <c r="H144" s="3">
        <v>0</v>
      </c>
      <c r="I144" s="3">
        <v>0</v>
      </c>
      <c r="J144" s="3">
        <v>0</v>
      </c>
      <c r="K144" s="3">
        <v>0</v>
      </c>
      <c r="L144">
        <f t="shared" si="24"/>
        <v>281</v>
      </c>
      <c r="M144" s="10">
        <f>L144*INDEX(Products_T[UnitCost],MATCH(C144,Products_T[SKU],0))</f>
        <v>786800</v>
      </c>
      <c r="N144">
        <f>ROUND(INDEX(Products_T[AvgDailyUsage],MATCH(C144,Products_T[SKU],0))*(INDEX(Products_T[AvgLeadTime],MATCH(C144,Products_T[SKU],0))+INDEX(Products_T[LeadTimeRange],MATCH(C144,Products_T[SKU],0)))+INDEX(Products_T[SafetyStock],MATCH(C144,Products_T[SKU],0)),0)</f>
        <v>82</v>
      </c>
      <c r="O144" s="4">
        <f>IFERROR(L144/INDEX(Products_T[AvgDailyUsage],MATCH(C144,Products_T[SKU],0)),0)</f>
        <v>47.226890756302517</v>
      </c>
      <c r="P144" t="str">
        <f t="shared" si="25"/>
        <v>Overstock</v>
      </c>
      <c r="Q144" t="str">
        <f t="shared" si="26"/>
        <v>No</v>
      </c>
      <c r="R144">
        <f t="shared" si="27"/>
        <v>4</v>
      </c>
      <c r="S144" s="2">
        <f t="shared" si="28"/>
        <v>46173</v>
      </c>
      <c r="T144" s="12">
        <f>IFERROR(S144-_xlfn.MAXIFS(Transactions_T[Date],Transactions_T[SKU],C144,Transactions_T[Date],"&lt;="&amp;S144),"")</f>
        <v>134</v>
      </c>
    </row>
    <row r="145" spans="1:20" x14ac:dyDescent="0.25">
      <c r="A145" s="7">
        <v>46143</v>
      </c>
      <c r="B145" s="3" t="s">
        <v>33</v>
      </c>
      <c r="C145" s="3" t="s">
        <v>104</v>
      </c>
      <c r="D145" t="str">
        <f>INDEX(Products_T[ProductName],MATCH(C145,Products_T[SKU],0))</f>
        <v>USB-C Charging Cable</v>
      </c>
      <c r="E145" t="str">
        <f>INDEX(Products_T[Category],MATCH(C145,Products_T[SKU],0))</f>
        <v>Electronics Accessories</v>
      </c>
      <c r="F145" t="str">
        <f>INDEX(Products_T[SupplierName],MATCH(C145,Products_T[SKU],0))</f>
        <v>Quality Imports Ltd</v>
      </c>
      <c r="G145">
        <f t="shared" si="23"/>
        <v>6</v>
      </c>
      <c r="H145" s="3">
        <v>56</v>
      </c>
      <c r="I145" s="3">
        <v>62</v>
      </c>
      <c r="J145" s="3">
        <v>0</v>
      </c>
      <c r="K145" s="3">
        <v>0</v>
      </c>
      <c r="L145">
        <f t="shared" si="24"/>
        <v>0</v>
      </c>
      <c r="M145" s="10">
        <f>L145*INDEX(Products_T[UnitCost],MATCH(C145,Products_T[SKU],0))</f>
        <v>0</v>
      </c>
      <c r="N145">
        <f>ROUND(INDEX(Products_T[AvgDailyUsage],MATCH(C145,Products_T[SKU],0))*(INDEX(Products_T[AvgLeadTime],MATCH(C145,Products_T[SKU],0))+INDEX(Products_T[LeadTimeRange],MATCH(C145,Products_T[SKU],0)))+INDEX(Products_T[SafetyStock],MATCH(C145,Products_T[SKU],0)),0)</f>
        <v>45</v>
      </c>
      <c r="O145" s="4">
        <f>IFERROR(L145/INDEX(Products_T[AvgDailyUsage],MATCH(C145,Products_T[SKU],0)),0)</f>
        <v>0</v>
      </c>
      <c r="P145" t="str">
        <f t="shared" si="25"/>
        <v>Out of Stock</v>
      </c>
      <c r="Q145" t="str">
        <f t="shared" si="26"/>
        <v>Yes</v>
      </c>
      <c r="R145">
        <f t="shared" si="27"/>
        <v>0</v>
      </c>
      <c r="S145" s="2">
        <f t="shared" si="28"/>
        <v>46173</v>
      </c>
      <c r="T145" s="12">
        <f>IFERROR(S145-_xlfn.MAXIFS(Transactions_T[Date],Transactions_T[SKU],C145,Transactions_T[Date],"&lt;="&amp;S145),"")</f>
        <v>14</v>
      </c>
    </row>
    <row r="146" spans="1:20" x14ac:dyDescent="0.25">
      <c r="A146" s="7">
        <v>46143</v>
      </c>
      <c r="B146" s="3" t="s">
        <v>33</v>
      </c>
      <c r="C146" s="3" t="s">
        <v>107</v>
      </c>
      <c r="D146" t="str">
        <f>INDEX(Products_T[ProductName],MATCH(C146,Products_T[SKU],0))</f>
        <v>Bluetooth Earbuds</v>
      </c>
      <c r="E146" t="str">
        <f>INDEX(Products_T[Category],MATCH(C146,Products_T[SKU],0))</f>
        <v>Electronics Accessories</v>
      </c>
      <c r="F146" t="str">
        <f>INDEX(Products_T[SupplierName],MATCH(C146,Products_T[SKU],0))</f>
        <v>Quality Imports Ltd</v>
      </c>
      <c r="G146">
        <f t="shared" si="23"/>
        <v>23</v>
      </c>
      <c r="H146" s="3">
        <v>52</v>
      </c>
      <c r="I146" s="3">
        <v>75</v>
      </c>
      <c r="J146" s="3">
        <v>0</v>
      </c>
      <c r="K146" s="3">
        <v>0</v>
      </c>
      <c r="L146">
        <f t="shared" si="24"/>
        <v>0</v>
      </c>
      <c r="M146" s="10">
        <f>L146*INDEX(Products_T[UnitCost],MATCH(C146,Products_T[SKU],0))</f>
        <v>0</v>
      </c>
      <c r="N146">
        <f>ROUND(INDEX(Products_T[AvgDailyUsage],MATCH(C146,Products_T[SKU],0))*(INDEX(Products_T[AvgLeadTime],MATCH(C146,Products_T[SKU],0))+INDEX(Products_T[LeadTimeRange],MATCH(C146,Products_T[SKU],0)))+INDEX(Products_T[SafetyStock],MATCH(C146,Products_T[SKU],0)),0)</f>
        <v>37</v>
      </c>
      <c r="O146" s="4">
        <f>IFERROR(L146/INDEX(Products_T[AvgDailyUsage],MATCH(C146,Products_T[SKU],0)),0)</f>
        <v>0</v>
      </c>
      <c r="P146" t="str">
        <f t="shared" si="25"/>
        <v>Out of Stock</v>
      </c>
      <c r="Q146" t="str">
        <f t="shared" si="26"/>
        <v>Yes</v>
      </c>
      <c r="R146">
        <f t="shared" si="27"/>
        <v>0</v>
      </c>
      <c r="S146" s="2">
        <f t="shared" si="28"/>
        <v>46173</v>
      </c>
      <c r="T146" s="12">
        <f>IFERROR(S146-_xlfn.MAXIFS(Transactions_T[Date],Transactions_T[SKU],C146,Transactions_T[Date],"&lt;="&amp;S146),"")</f>
        <v>6</v>
      </c>
    </row>
    <row r="147" spans="1:20" x14ac:dyDescent="0.25">
      <c r="A147" s="7">
        <v>46143</v>
      </c>
      <c r="B147" s="3" t="s">
        <v>33</v>
      </c>
      <c r="C147" s="3" t="s">
        <v>109</v>
      </c>
      <c r="D147" t="str">
        <f>INDEX(Products_T[ProductName],MATCH(C147,Products_T[SKU],0))</f>
        <v>HDMI Cable 1.5m</v>
      </c>
      <c r="E147" t="str">
        <f>INDEX(Products_T[Category],MATCH(C147,Products_T[SKU],0))</f>
        <v>Electronics Accessories</v>
      </c>
      <c r="F147" t="str">
        <f>INDEX(Products_T[SupplierName],MATCH(C147,Products_T[SKU],0))</f>
        <v>Quality Imports Ltd</v>
      </c>
      <c r="G147">
        <f t="shared" si="23"/>
        <v>54</v>
      </c>
      <c r="H147" s="3">
        <v>87</v>
      </c>
      <c r="I147" s="3">
        <v>68</v>
      </c>
      <c r="J147" s="3">
        <v>0</v>
      </c>
      <c r="K147" s="3">
        <v>0</v>
      </c>
      <c r="L147">
        <f t="shared" si="24"/>
        <v>73</v>
      </c>
      <c r="M147" s="10">
        <f>L147*INDEX(Products_T[UnitCost],MATCH(C147,Products_T[SKU],0))</f>
        <v>160600</v>
      </c>
      <c r="N147">
        <f>ROUND(INDEX(Products_T[AvgDailyUsage],MATCH(C147,Products_T[SKU],0))*(INDEX(Products_T[AvgLeadTime],MATCH(C147,Products_T[SKU],0))+INDEX(Products_T[LeadTimeRange],MATCH(C147,Products_T[SKU],0)))+INDEX(Products_T[SafetyStock],MATCH(C147,Products_T[SKU],0)),0)</f>
        <v>42</v>
      </c>
      <c r="O147" s="4">
        <f>IFERROR(L147/INDEX(Products_T[AvgDailyUsage],MATCH(C147,Products_T[SKU],0)),0)</f>
        <v>27.651515151515149</v>
      </c>
      <c r="P147" t="str">
        <f t="shared" si="25"/>
        <v>Healthy</v>
      </c>
      <c r="Q147" t="str">
        <f t="shared" si="26"/>
        <v>No</v>
      </c>
      <c r="R147">
        <f t="shared" si="27"/>
        <v>3</v>
      </c>
      <c r="S147" s="2">
        <f t="shared" si="28"/>
        <v>46173</v>
      </c>
      <c r="T147" s="12">
        <f>IFERROR(S147-_xlfn.MAXIFS(Transactions_T[Date],Transactions_T[SKU],C147,Transactions_T[Date],"&lt;="&amp;S147),"")</f>
        <v>3</v>
      </c>
    </row>
    <row r="148" spans="1:20" x14ac:dyDescent="0.25">
      <c r="A148" s="7">
        <v>46143</v>
      </c>
      <c r="B148" s="3" t="s">
        <v>33</v>
      </c>
      <c r="C148" s="3" t="s">
        <v>111</v>
      </c>
      <c r="D148" t="str">
        <f>INDEX(Products_T[ProductName],MATCH(C148,Products_T[SKU],0))</f>
        <v>Power Bank 10000mAh</v>
      </c>
      <c r="E148" t="str">
        <f>INDEX(Products_T[Category],MATCH(C148,Products_T[SKU],0))</f>
        <v>Electronics Accessories</v>
      </c>
      <c r="F148" t="str">
        <f>INDEX(Products_T[SupplierName],MATCH(C148,Products_T[SKU],0))</f>
        <v>Quality Imports Ltd</v>
      </c>
      <c r="G148">
        <f t="shared" si="23"/>
        <v>146</v>
      </c>
      <c r="H148" s="3">
        <v>0</v>
      </c>
      <c r="I148" s="3">
        <v>0</v>
      </c>
      <c r="J148" s="3">
        <v>0</v>
      </c>
      <c r="K148" s="3">
        <v>0</v>
      </c>
      <c r="L148">
        <f t="shared" si="24"/>
        <v>146</v>
      </c>
      <c r="M148" s="10">
        <f>L148*INDEX(Products_T[UnitCost],MATCH(C148,Products_T[SKU],0))</f>
        <v>905200</v>
      </c>
      <c r="N148">
        <f>ROUND(INDEX(Products_T[AvgDailyUsage],MATCH(C148,Products_T[SKU],0))*(INDEX(Products_T[AvgLeadTime],MATCH(C148,Products_T[SKU],0))+INDEX(Products_T[LeadTimeRange],MATCH(C148,Products_T[SKU],0)))+INDEX(Products_T[SafetyStock],MATCH(C148,Products_T[SKU],0)),0)</f>
        <v>37</v>
      </c>
      <c r="O148" s="4">
        <f>IFERROR(L148/INDEX(Products_T[AvgDailyUsage],MATCH(C148,Products_T[SKU],0)),0)</f>
        <v>64.888888888888886</v>
      </c>
      <c r="P148" t="str">
        <f t="shared" si="25"/>
        <v>Overstock</v>
      </c>
      <c r="Q148" t="str">
        <f t="shared" si="26"/>
        <v>No</v>
      </c>
      <c r="R148">
        <f t="shared" si="27"/>
        <v>4</v>
      </c>
      <c r="S148" s="2">
        <f t="shared" si="28"/>
        <v>46173</v>
      </c>
      <c r="T148" s="12">
        <f>IFERROR(S148-_xlfn.MAXIFS(Transactions_T[Date],Transactions_T[SKU],C148,Transactions_T[Date],"&lt;="&amp;S148),"")</f>
        <v>34</v>
      </c>
    </row>
    <row r="149" spans="1:20" x14ac:dyDescent="0.25">
      <c r="A149" s="7">
        <v>46143</v>
      </c>
      <c r="B149" s="3" t="s">
        <v>33</v>
      </c>
      <c r="C149" s="3" t="s">
        <v>113</v>
      </c>
      <c r="D149" t="str">
        <f>INDEX(Products_T[ProductName],MATCH(C149,Products_T[SKU],0))</f>
        <v>Phone Screen Protector</v>
      </c>
      <c r="E149" t="str">
        <f>INDEX(Products_T[Category],MATCH(C149,Products_T[SKU],0))</f>
        <v>Electronics Accessories</v>
      </c>
      <c r="F149" t="str">
        <f>INDEX(Products_T[SupplierName],MATCH(C149,Products_T[SKU],0))</f>
        <v>Quality Imports Ltd</v>
      </c>
      <c r="G149">
        <f t="shared" si="23"/>
        <v>139</v>
      </c>
      <c r="H149" s="3">
        <v>40</v>
      </c>
      <c r="I149" s="3">
        <v>58</v>
      </c>
      <c r="J149" s="3">
        <v>0</v>
      </c>
      <c r="K149" s="3">
        <v>0</v>
      </c>
      <c r="L149">
        <f t="shared" si="24"/>
        <v>121</v>
      </c>
      <c r="M149" s="10">
        <f>L149*INDEX(Products_T[UnitCost],MATCH(C149,Products_T[SKU],0))</f>
        <v>108900</v>
      </c>
      <c r="N149">
        <f>ROUND(INDEX(Products_T[AvgDailyUsage],MATCH(C149,Products_T[SKU],0))*(INDEX(Products_T[AvgLeadTime],MATCH(C149,Products_T[SKU],0))+INDEX(Products_T[LeadTimeRange],MATCH(C149,Products_T[SKU],0)))+INDEX(Products_T[SafetyStock],MATCH(C149,Products_T[SKU],0)),0)</f>
        <v>42</v>
      </c>
      <c r="O149" s="4">
        <f>IFERROR(L149/INDEX(Products_T[AvgDailyUsage],MATCH(C149,Products_T[SKU],0)),0)</f>
        <v>67.977528089887642</v>
      </c>
      <c r="P149" t="str">
        <f t="shared" si="25"/>
        <v>Overstock</v>
      </c>
      <c r="Q149" t="str">
        <f t="shared" si="26"/>
        <v>No</v>
      </c>
      <c r="R149">
        <f t="shared" si="27"/>
        <v>4</v>
      </c>
      <c r="S149" s="2">
        <f t="shared" si="28"/>
        <v>46173</v>
      </c>
      <c r="T149" s="12">
        <f>IFERROR(S149-_xlfn.MAXIFS(Transactions_T[Date],Transactions_T[SKU],C149,Transactions_T[Date],"&lt;="&amp;S149),"")</f>
        <v>14</v>
      </c>
    </row>
    <row r="150" spans="1:20" x14ac:dyDescent="0.25">
      <c r="A150" s="7">
        <v>46143</v>
      </c>
      <c r="B150" s="3" t="s">
        <v>33</v>
      </c>
      <c r="C150" s="3" t="s">
        <v>115</v>
      </c>
      <c r="D150" t="str">
        <f>INDEX(Products_T[ProductName],MATCH(C150,Products_T[SKU],0))</f>
        <v>Wireless Mouse</v>
      </c>
      <c r="E150" t="str">
        <f>INDEX(Products_T[Category],MATCH(C150,Products_T[SKU],0))</f>
        <v>Electronics Accessories</v>
      </c>
      <c r="F150" t="str">
        <f>INDEX(Products_T[SupplierName],MATCH(C150,Products_T[SKU],0))</f>
        <v>Quality Imports Ltd</v>
      </c>
      <c r="G150">
        <f t="shared" si="23"/>
        <v>100</v>
      </c>
      <c r="H150" s="3">
        <v>116</v>
      </c>
      <c r="I150" s="3">
        <v>84</v>
      </c>
      <c r="J150" s="3">
        <v>0</v>
      </c>
      <c r="K150" s="3">
        <v>0</v>
      </c>
      <c r="L150">
        <f t="shared" si="24"/>
        <v>132</v>
      </c>
      <c r="M150" s="10">
        <f>L150*INDEX(Products_T[UnitCost],MATCH(C150,Products_T[SKU],0))</f>
        <v>422400</v>
      </c>
      <c r="N150">
        <f>ROUND(INDEX(Products_T[AvgDailyUsage],MATCH(C150,Products_T[SKU],0))*(INDEX(Products_T[AvgLeadTime],MATCH(C150,Products_T[SKU],0))+INDEX(Products_T[LeadTimeRange],MATCH(C150,Products_T[SKU],0)))+INDEX(Products_T[SafetyStock],MATCH(C150,Products_T[SKU],0)),0)</f>
        <v>47</v>
      </c>
      <c r="O150" s="4">
        <f>IFERROR(L150/INDEX(Products_T[AvgDailyUsage],MATCH(C150,Products_T[SKU],0)),0)</f>
        <v>42.996742671009777</v>
      </c>
      <c r="P150" t="str">
        <f t="shared" si="25"/>
        <v>Overstock</v>
      </c>
      <c r="Q150" t="str">
        <f t="shared" si="26"/>
        <v>No</v>
      </c>
      <c r="R150">
        <f t="shared" si="27"/>
        <v>4</v>
      </c>
      <c r="S150" s="2">
        <f t="shared" si="28"/>
        <v>46173</v>
      </c>
      <c r="T150" s="12">
        <f>IFERROR(S150-_xlfn.MAXIFS(Transactions_T[Date],Transactions_T[SKU],C150,Transactions_T[Date],"&lt;="&amp;S150),"")</f>
        <v>6</v>
      </c>
    </row>
    <row r="151" spans="1:20" x14ac:dyDescent="0.25">
      <c r="A151" s="7">
        <v>46143</v>
      </c>
      <c r="B151" s="3" t="s">
        <v>33</v>
      </c>
      <c r="C151" s="3" t="s">
        <v>117</v>
      </c>
      <c r="D151" t="str">
        <f>INDEX(Products_T[ProductName],MATCH(C151,Products_T[SKU],0))</f>
        <v>Extension Socket 4-way</v>
      </c>
      <c r="E151" t="str">
        <f>INDEX(Products_T[Category],MATCH(C151,Products_T[SKU],0))</f>
        <v>Electronics Accessories</v>
      </c>
      <c r="F151" t="str">
        <f>INDEX(Products_T[SupplierName],MATCH(C151,Products_T[SKU],0))</f>
        <v>Quality Imports Ltd</v>
      </c>
      <c r="G151">
        <f t="shared" si="23"/>
        <v>52</v>
      </c>
      <c r="H151" s="3">
        <v>41</v>
      </c>
      <c r="I151" s="3">
        <v>65</v>
      </c>
      <c r="J151" s="3">
        <v>0</v>
      </c>
      <c r="K151" s="3">
        <v>0</v>
      </c>
      <c r="L151">
        <f t="shared" si="24"/>
        <v>28</v>
      </c>
      <c r="M151" s="10">
        <f>L151*INDEX(Products_T[UnitCost],MATCH(C151,Products_T[SKU],0))</f>
        <v>72800</v>
      </c>
      <c r="N151">
        <f>ROUND(INDEX(Products_T[AvgDailyUsage],MATCH(C151,Products_T[SKU],0))*(INDEX(Products_T[AvgLeadTime],MATCH(C151,Products_T[SKU],0))+INDEX(Products_T[LeadTimeRange],MATCH(C151,Products_T[SKU],0)))+INDEX(Products_T[SafetyStock],MATCH(C151,Products_T[SKU],0)),0)</f>
        <v>31</v>
      </c>
      <c r="O151" s="4">
        <f>IFERROR(L151/INDEX(Products_T[AvgDailyUsage],MATCH(C151,Products_T[SKU],0)),0)</f>
        <v>16.47058823529412</v>
      </c>
      <c r="P151" t="str">
        <f t="shared" si="25"/>
        <v>Reorder</v>
      </c>
      <c r="Q151" t="str">
        <f t="shared" si="26"/>
        <v>Yes</v>
      </c>
      <c r="R151">
        <f t="shared" si="27"/>
        <v>2</v>
      </c>
      <c r="S151" s="2">
        <f t="shared" si="28"/>
        <v>46173</v>
      </c>
      <c r="T151" s="12">
        <f>IFERROR(S151-_xlfn.MAXIFS(Transactions_T[Date],Transactions_T[SKU],C151,Transactions_T[Date],"&lt;="&amp;S151),"")</f>
        <v>4</v>
      </c>
    </row>
    <row r="152" spans="1:20" x14ac:dyDescent="0.25">
      <c r="A152" s="7">
        <v>46174</v>
      </c>
      <c r="B152" s="3" t="s">
        <v>34</v>
      </c>
      <c r="C152" s="3" t="s">
        <v>54</v>
      </c>
      <c r="D152" t="str">
        <f>INDEX(Products_T[ProductName],MATCH(C152,Products_T[SKU],0))</f>
        <v>Coca-Cola 1.5L</v>
      </c>
      <c r="E152" t="str">
        <f>INDEX(Products_T[Category],MATCH(C152,Products_T[SKU],0))</f>
        <v>Beverages</v>
      </c>
      <c r="F152" t="str">
        <f>INDEX(Products_T[SupplierName],MATCH(C152,Products_T[SKU],0))</f>
        <v>Global Distributors Ltd</v>
      </c>
      <c r="G152">
        <f t="shared" si="23"/>
        <v>516</v>
      </c>
      <c r="H152" s="3">
        <v>0</v>
      </c>
      <c r="I152" s="3">
        <v>255</v>
      </c>
      <c r="J152" s="3">
        <v>0</v>
      </c>
      <c r="K152" s="3">
        <v>0</v>
      </c>
      <c r="L152">
        <f t="shared" si="24"/>
        <v>261</v>
      </c>
      <c r="M152" s="10">
        <f>L152*INDEX(Products_T[UnitCost],MATCH(C152,Products_T[SKU],0))</f>
        <v>65250</v>
      </c>
      <c r="N152">
        <f>ROUND(INDEX(Products_T[AvgDailyUsage],MATCH(C152,Products_T[SKU],0))*(INDEX(Products_T[AvgLeadTime],MATCH(C152,Products_T[SKU],0))+INDEX(Products_T[LeadTimeRange],MATCH(C152,Products_T[SKU],0)))+INDEX(Products_T[SafetyStock],MATCH(C152,Products_T[SKU],0)),0)</f>
        <v>81</v>
      </c>
      <c r="O152" s="4">
        <f>IFERROR(L152/INDEX(Products_T[AvgDailyUsage],MATCH(C152,Products_T[SKU],0)),0)</f>
        <v>35.900962861072905</v>
      </c>
      <c r="P152" t="str">
        <f t="shared" si="25"/>
        <v>Overstock</v>
      </c>
      <c r="Q152" t="str">
        <f t="shared" si="26"/>
        <v>No</v>
      </c>
      <c r="R152">
        <f t="shared" si="27"/>
        <v>4</v>
      </c>
      <c r="S152" s="2">
        <f t="shared" si="28"/>
        <v>46203</v>
      </c>
      <c r="T152" s="12">
        <f>IFERROR(S152-_xlfn.MAXIFS(Transactions_T[Date],Transactions_T[SKU],C152,Transactions_T[Date],"&lt;="&amp;S152),"")</f>
        <v>7</v>
      </c>
    </row>
    <row r="153" spans="1:20" x14ac:dyDescent="0.25">
      <c r="A153" s="7">
        <v>46174</v>
      </c>
      <c r="B153" s="3" t="s">
        <v>34</v>
      </c>
      <c r="C153" s="3" t="s">
        <v>57</v>
      </c>
      <c r="D153" t="str">
        <f>INDEX(Products_T[ProductName],MATCH(C153,Products_T[SKU],0))</f>
        <v>Sprite 1.5L</v>
      </c>
      <c r="E153" t="str">
        <f>INDEX(Products_T[Category],MATCH(C153,Products_T[SKU],0))</f>
        <v>Beverages</v>
      </c>
      <c r="F153" t="str">
        <f>INDEX(Products_T[SupplierName],MATCH(C153,Products_T[SKU],0))</f>
        <v>Global Distributors Ltd</v>
      </c>
      <c r="G153">
        <f t="shared" si="23"/>
        <v>0</v>
      </c>
      <c r="H153" s="3">
        <v>518</v>
      </c>
      <c r="I153" s="3">
        <v>384</v>
      </c>
      <c r="J153" s="3">
        <v>0</v>
      </c>
      <c r="K153" s="3">
        <v>0</v>
      </c>
      <c r="L153">
        <f t="shared" si="24"/>
        <v>134</v>
      </c>
      <c r="M153" s="10">
        <f>L153*INDEX(Products_T[UnitCost],MATCH(C153,Products_T[SKU],0))</f>
        <v>32830</v>
      </c>
      <c r="N153">
        <f>ROUND(INDEX(Products_T[AvgDailyUsage],MATCH(C153,Products_T[SKU],0))*(INDEX(Products_T[AvgLeadTime],MATCH(C153,Products_T[SKU],0))+INDEX(Products_T[LeadTimeRange],MATCH(C153,Products_T[SKU],0)))+INDEX(Products_T[SafetyStock],MATCH(C153,Products_T[SKU],0)),0)</f>
        <v>109</v>
      </c>
      <c r="O153" s="4">
        <f>IFERROR(L153/INDEX(Products_T[AvgDailyUsage],MATCH(C153,Products_T[SKU],0)),0)</f>
        <v>12.511671335200745</v>
      </c>
      <c r="P153" t="str">
        <f t="shared" si="25"/>
        <v>Healthy</v>
      </c>
      <c r="Q153" t="str">
        <f t="shared" si="26"/>
        <v>No</v>
      </c>
      <c r="R153">
        <f t="shared" si="27"/>
        <v>3</v>
      </c>
      <c r="S153" s="2">
        <f t="shared" si="28"/>
        <v>46203</v>
      </c>
      <c r="T153" s="12">
        <f>IFERROR(S153-_xlfn.MAXIFS(Transactions_T[Date],Transactions_T[SKU],C153,Transactions_T[Date],"&lt;="&amp;S153),"")</f>
        <v>13</v>
      </c>
    </row>
    <row r="154" spans="1:20" x14ac:dyDescent="0.25">
      <c r="A154" s="7">
        <v>46174</v>
      </c>
      <c r="B154" s="3" t="s">
        <v>34</v>
      </c>
      <c r="C154" s="3" t="s">
        <v>59</v>
      </c>
      <c r="D154" t="str">
        <f>INDEX(Products_T[ProductName],MATCH(C154,Products_T[SKU],0))</f>
        <v>Fanta 1.5L</v>
      </c>
      <c r="E154" t="str">
        <f>INDEX(Products_T[Category],MATCH(C154,Products_T[SKU],0))</f>
        <v>Beverages</v>
      </c>
      <c r="F154" t="str">
        <f>INDEX(Products_T[SupplierName],MATCH(C154,Products_T[SKU],0))</f>
        <v>Quality Imports Ltd</v>
      </c>
      <c r="G154">
        <f t="shared" si="23"/>
        <v>0</v>
      </c>
      <c r="H154" s="3">
        <v>388</v>
      </c>
      <c r="I154" s="3">
        <v>261</v>
      </c>
      <c r="J154" s="3">
        <v>0</v>
      </c>
      <c r="K154" s="3">
        <v>0</v>
      </c>
      <c r="L154">
        <f t="shared" si="24"/>
        <v>127</v>
      </c>
      <c r="M154" s="10">
        <f>L154*INDEX(Products_T[UnitCost],MATCH(C154,Products_T[SKU],0))</f>
        <v>30480</v>
      </c>
      <c r="N154">
        <f>ROUND(INDEX(Products_T[AvgDailyUsage],MATCH(C154,Products_T[SKU],0))*(INDEX(Products_T[AvgLeadTime],MATCH(C154,Products_T[SKU],0))+INDEX(Products_T[LeadTimeRange],MATCH(C154,Products_T[SKU],0)))+INDEX(Products_T[SafetyStock],MATCH(C154,Products_T[SKU],0)),0)</f>
        <v>170</v>
      </c>
      <c r="O154" s="4">
        <f>IFERROR(L154/INDEX(Products_T[AvgDailyUsage],MATCH(C154,Products_T[SKU],0)),0)</f>
        <v>11.014744145706853</v>
      </c>
      <c r="P154" t="str">
        <f t="shared" si="25"/>
        <v>Reorder</v>
      </c>
      <c r="Q154" t="str">
        <f t="shared" si="26"/>
        <v>Yes</v>
      </c>
      <c r="R154">
        <f t="shared" si="27"/>
        <v>2</v>
      </c>
      <c r="S154" s="2">
        <f t="shared" si="28"/>
        <v>46203</v>
      </c>
      <c r="T154" s="12">
        <f>IFERROR(S154-_xlfn.MAXIFS(Transactions_T[Date],Transactions_T[SKU],C154,Transactions_T[Date],"&lt;="&amp;S154),"")</f>
        <v>12</v>
      </c>
    </row>
    <row r="155" spans="1:20" x14ac:dyDescent="0.25">
      <c r="A155" s="7">
        <v>46174</v>
      </c>
      <c r="B155" s="3" t="s">
        <v>34</v>
      </c>
      <c r="C155" s="3" t="s">
        <v>61</v>
      </c>
      <c r="D155" t="str">
        <f>INDEX(Products_T[ProductName],MATCH(C155,Products_T[SKU],0))</f>
        <v>Bottled Water 75cl</v>
      </c>
      <c r="E155" t="str">
        <f>INDEX(Products_T[Category],MATCH(C155,Products_T[SKU],0))</f>
        <v>Beverages</v>
      </c>
      <c r="F155" t="str">
        <f>INDEX(Products_T[SupplierName],MATCH(C155,Products_T[SKU],0))</f>
        <v>Bulk Wholesale Co</v>
      </c>
      <c r="G155">
        <f t="shared" si="23"/>
        <v>554</v>
      </c>
      <c r="H155" s="3">
        <v>4</v>
      </c>
      <c r="I155" s="3">
        <v>262</v>
      </c>
      <c r="J155" s="3">
        <v>0</v>
      </c>
      <c r="K155" s="3">
        <v>0</v>
      </c>
      <c r="L155">
        <f t="shared" si="24"/>
        <v>296</v>
      </c>
      <c r="M155" s="10">
        <f>L155*INDEX(Products_T[UnitCost],MATCH(C155,Products_T[SKU],0))</f>
        <v>29600</v>
      </c>
      <c r="N155">
        <f>ROUND(INDEX(Products_T[AvgDailyUsage],MATCH(C155,Products_T[SKU],0))*(INDEX(Products_T[AvgLeadTime],MATCH(C155,Products_T[SKU],0))+INDEX(Products_T[LeadTimeRange],MATCH(C155,Products_T[SKU],0)))+INDEX(Products_T[SafetyStock],MATCH(C155,Products_T[SKU],0)),0)</f>
        <v>95</v>
      </c>
      <c r="O155" s="4">
        <f>IFERROR(L155/INDEX(Products_T[AvgDailyUsage],MATCH(C155,Products_T[SKU],0)),0)</f>
        <v>37.997432605905004</v>
      </c>
      <c r="P155" t="str">
        <f t="shared" si="25"/>
        <v>Overstock</v>
      </c>
      <c r="Q155" t="str">
        <f t="shared" si="26"/>
        <v>No</v>
      </c>
      <c r="R155">
        <f t="shared" si="27"/>
        <v>4</v>
      </c>
      <c r="S155" s="2">
        <f t="shared" si="28"/>
        <v>46203</v>
      </c>
      <c r="T155" s="12">
        <f>IFERROR(S155-_xlfn.MAXIFS(Transactions_T[Date],Transactions_T[SKU],C155,Transactions_T[Date],"&lt;="&amp;S155),"")</f>
        <v>6</v>
      </c>
    </row>
    <row r="156" spans="1:20" x14ac:dyDescent="0.25">
      <c r="A156" s="7">
        <v>46174</v>
      </c>
      <c r="B156" s="3" t="s">
        <v>34</v>
      </c>
      <c r="C156" s="3" t="s">
        <v>63</v>
      </c>
      <c r="D156" t="str">
        <f>INDEX(Products_T[ProductName],MATCH(C156,Products_T[SKU],0))</f>
        <v>Malt Drink 33cl</v>
      </c>
      <c r="E156" t="str">
        <f>INDEX(Products_T[Category],MATCH(C156,Products_T[SKU],0))</f>
        <v>Beverages</v>
      </c>
      <c r="F156" t="str">
        <f>INDEX(Products_T[SupplierName],MATCH(C156,Products_T[SKU],0))</f>
        <v>Global Distributors Ltd</v>
      </c>
      <c r="G156">
        <f t="shared" si="23"/>
        <v>0</v>
      </c>
      <c r="H156" s="3">
        <v>540</v>
      </c>
      <c r="I156" s="3">
        <v>370</v>
      </c>
      <c r="J156" s="3">
        <v>0</v>
      </c>
      <c r="K156" s="3">
        <v>0</v>
      </c>
      <c r="L156">
        <f t="shared" si="24"/>
        <v>170</v>
      </c>
      <c r="M156" s="10">
        <f>L156*INDEX(Products_T[UnitCost],MATCH(C156,Products_T[SKU],0))</f>
        <v>30600</v>
      </c>
      <c r="N156">
        <f>ROUND(INDEX(Products_T[AvgDailyUsage],MATCH(C156,Products_T[SKU],0))*(INDEX(Products_T[AvgLeadTime],MATCH(C156,Products_T[SKU],0))+INDEX(Products_T[LeadTimeRange],MATCH(C156,Products_T[SKU],0)))+INDEX(Products_T[SafetyStock],MATCH(C156,Products_T[SKU],0)),0)</f>
        <v>105</v>
      </c>
      <c r="O156" s="4">
        <f>IFERROR(L156/INDEX(Products_T[AvgDailyUsage],MATCH(C156,Products_T[SKU],0)),0)</f>
        <v>17.745302713987474</v>
      </c>
      <c r="P156" t="str">
        <f t="shared" si="25"/>
        <v>Healthy</v>
      </c>
      <c r="Q156" t="str">
        <f t="shared" si="26"/>
        <v>No</v>
      </c>
      <c r="R156">
        <f t="shared" si="27"/>
        <v>3</v>
      </c>
      <c r="S156" s="2">
        <f t="shared" si="28"/>
        <v>46203</v>
      </c>
      <c r="T156" s="12">
        <f>IFERROR(S156-_xlfn.MAXIFS(Transactions_T[Date],Transactions_T[SKU],C156,Transactions_T[Date],"&lt;="&amp;S156),"")</f>
        <v>8</v>
      </c>
    </row>
    <row r="157" spans="1:20" x14ac:dyDescent="0.25">
      <c r="A157" s="7">
        <v>46174</v>
      </c>
      <c r="B157" s="3" t="s">
        <v>34</v>
      </c>
      <c r="C157" s="3" t="s">
        <v>65</v>
      </c>
      <c r="D157" t="str">
        <f>INDEX(Products_T[ProductName],MATCH(C157,Products_T[SKU],0))</f>
        <v>Colgate Toothpaste 100ml</v>
      </c>
      <c r="E157" t="str">
        <f>INDEX(Products_T[Category],MATCH(C157,Products_T[SKU],0))</f>
        <v>Personal Care</v>
      </c>
      <c r="F157" t="str">
        <f>INDEX(Products_T[SupplierName],MATCH(C157,Products_T[SKU],0))</f>
        <v>Premier Supplies Ltd</v>
      </c>
      <c r="G157">
        <f t="shared" si="23"/>
        <v>239</v>
      </c>
      <c r="H157" s="3">
        <v>0</v>
      </c>
      <c r="I157" s="3">
        <v>0</v>
      </c>
      <c r="J157" s="3">
        <v>0</v>
      </c>
      <c r="K157" s="3">
        <v>0</v>
      </c>
      <c r="L157">
        <f t="shared" si="24"/>
        <v>239</v>
      </c>
      <c r="M157" s="10">
        <f>L157*INDEX(Products_T[UnitCost],MATCH(C157,Products_T[SKU],0))</f>
        <v>107550</v>
      </c>
      <c r="N157">
        <f>ROUND(INDEX(Products_T[AvgDailyUsage],MATCH(C157,Products_T[SKU],0))*(INDEX(Products_T[AvgLeadTime],MATCH(C157,Products_T[SKU],0))+INDEX(Products_T[LeadTimeRange],MATCH(C157,Products_T[SKU],0)))+INDEX(Products_T[SafetyStock],MATCH(C157,Products_T[SKU],0)),0)</f>
        <v>68</v>
      </c>
      <c r="O157" s="4">
        <f>IFERROR(L157/INDEX(Products_T[AvgDailyUsage],MATCH(C157,Products_T[SKU],0)),0)</f>
        <v>51.843817787418651</v>
      </c>
      <c r="P157" t="str">
        <f t="shared" si="25"/>
        <v>Overstock</v>
      </c>
      <c r="Q157" t="str">
        <f t="shared" si="26"/>
        <v>No</v>
      </c>
      <c r="R157">
        <f t="shared" si="27"/>
        <v>4</v>
      </c>
      <c r="S157" s="2">
        <f t="shared" si="28"/>
        <v>46203</v>
      </c>
      <c r="T157" s="12">
        <f>IFERROR(S157-_xlfn.MAXIFS(Transactions_T[Date],Transactions_T[SKU],C157,Transactions_T[Date],"&lt;="&amp;S157),"")</f>
        <v>135</v>
      </c>
    </row>
    <row r="158" spans="1:20" x14ac:dyDescent="0.25">
      <c r="A158" s="7">
        <v>46174</v>
      </c>
      <c r="B158" s="3" t="s">
        <v>34</v>
      </c>
      <c r="C158" s="3" t="s">
        <v>68</v>
      </c>
      <c r="D158" t="str">
        <f>INDEX(Products_T[ProductName],MATCH(C158,Products_T[SKU],0))</f>
        <v>Dettol Soap 100g</v>
      </c>
      <c r="E158" t="str">
        <f>INDEX(Products_T[Category],MATCH(C158,Products_T[SKU],0))</f>
        <v>Personal Care</v>
      </c>
      <c r="F158" t="str">
        <f>INDEX(Products_T[SupplierName],MATCH(C158,Products_T[SKU],0))</f>
        <v>Premier Supplies Ltd</v>
      </c>
      <c r="G158">
        <f t="shared" si="23"/>
        <v>84</v>
      </c>
      <c r="H158" s="3">
        <v>233</v>
      </c>
      <c r="I158" s="3">
        <v>188</v>
      </c>
      <c r="J158" s="3">
        <v>0</v>
      </c>
      <c r="K158" s="3">
        <v>-3</v>
      </c>
      <c r="L158">
        <f t="shared" si="24"/>
        <v>126</v>
      </c>
      <c r="M158" s="10">
        <f>L158*INDEX(Products_T[UnitCost],MATCH(C158,Products_T[SKU],0))</f>
        <v>27720</v>
      </c>
      <c r="N158">
        <f>ROUND(INDEX(Products_T[AvgDailyUsage],MATCH(C158,Products_T[SKU],0))*(INDEX(Products_T[AvgLeadTime],MATCH(C158,Products_T[SKU],0))+INDEX(Products_T[LeadTimeRange],MATCH(C158,Products_T[SKU],0)))+INDEX(Products_T[SafetyStock],MATCH(C158,Products_T[SKU],0)),0)</f>
        <v>73</v>
      </c>
      <c r="O158" s="4">
        <f>IFERROR(L158/INDEX(Products_T[AvgDailyUsage],MATCH(C158,Products_T[SKU],0)),0)</f>
        <v>25.049701789264411</v>
      </c>
      <c r="P158" t="str">
        <f t="shared" si="25"/>
        <v>Healthy</v>
      </c>
      <c r="Q158" t="str">
        <f t="shared" si="26"/>
        <v>No</v>
      </c>
      <c r="R158">
        <f t="shared" si="27"/>
        <v>3</v>
      </c>
      <c r="S158" s="2">
        <f t="shared" si="28"/>
        <v>46203</v>
      </c>
      <c r="T158" s="12">
        <f>IFERROR(S158-_xlfn.MAXIFS(Transactions_T[Date],Transactions_T[SKU],C158,Transactions_T[Date],"&lt;="&amp;S158),"")</f>
        <v>1</v>
      </c>
    </row>
    <row r="159" spans="1:20" x14ac:dyDescent="0.25">
      <c r="A159" s="7">
        <v>46174</v>
      </c>
      <c r="B159" s="3" t="s">
        <v>34</v>
      </c>
      <c r="C159" s="3" t="s">
        <v>70</v>
      </c>
      <c r="D159" t="str">
        <f>INDEX(Products_T[ProductName],MATCH(C159,Products_T[SKU],0))</f>
        <v>Sunsilk Shampoo 200ml</v>
      </c>
      <c r="E159" t="str">
        <f>INDEX(Products_T[Category],MATCH(C159,Products_T[SKU],0))</f>
        <v>Personal Care</v>
      </c>
      <c r="F159" t="str">
        <f>INDEX(Products_T[SupplierName],MATCH(C159,Products_T[SKU],0))</f>
        <v>Premier Supplies Ltd</v>
      </c>
      <c r="G159">
        <f t="shared" si="23"/>
        <v>83</v>
      </c>
      <c r="H159" s="3">
        <v>219</v>
      </c>
      <c r="I159" s="3">
        <v>219</v>
      </c>
      <c r="J159" s="3">
        <v>0</v>
      </c>
      <c r="K159" s="3">
        <v>0</v>
      </c>
      <c r="L159">
        <f t="shared" si="24"/>
        <v>83</v>
      </c>
      <c r="M159" s="10">
        <f>L159*INDEX(Products_T[UnitCost],MATCH(C159,Products_T[SKU],0))</f>
        <v>45650</v>
      </c>
      <c r="N159">
        <f>ROUND(INDEX(Products_T[AvgDailyUsage],MATCH(C159,Products_T[SKU],0))*(INDEX(Products_T[AvgLeadTime],MATCH(C159,Products_T[SKU],0))+INDEX(Products_T[LeadTimeRange],MATCH(C159,Products_T[SKU],0)))+INDEX(Products_T[SafetyStock],MATCH(C159,Products_T[SKU],0)),0)</f>
        <v>108</v>
      </c>
      <c r="O159" s="4">
        <f>IFERROR(L159/INDEX(Products_T[AvgDailyUsage],MATCH(C159,Products_T[SKU],0)),0)</f>
        <v>10.440251572327044</v>
      </c>
      <c r="P159" t="str">
        <f t="shared" si="25"/>
        <v>Reorder</v>
      </c>
      <c r="Q159" t="str">
        <f t="shared" si="26"/>
        <v>Yes</v>
      </c>
      <c r="R159">
        <f t="shared" si="27"/>
        <v>2</v>
      </c>
      <c r="S159" s="2">
        <f t="shared" si="28"/>
        <v>46203</v>
      </c>
      <c r="T159" s="12">
        <f>IFERROR(S159-_xlfn.MAXIFS(Transactions_T[Date],Transactions_T[SKU],C159,Transactions_T[Date],"&lt;="&amp;S159),"")</f>
        <v>3</v>
      </c>
    </row>
    <row r="160" spans="1:20" x14ac:dyDescent="0.25">
      <c r="A160" s="7">
        <v>46174</v>
      </c>
      <c r="B160" s="3" t="s">
        <v>34</v>
      </c>
      <c r="C160" s="3" t="s">
        <v>72</v>
      </c>
      <c r="D160" t="str">
        <f>INDEX(Products_T[ProductName],MATCH(C160,Products_T[SKU],0))</f>
        <v>Vaseline Lotion 400ml</v>
      </c>
      <c r="E160" t="str">
        <f>INDEX(Products_T[Category],MATCH(C160,Products_T[SKU],0))</f>
        <v>Personal Care</v>
      </c>
      <c r="F160" t="str">
        <f>INDEX(Products_T[SupplierName],MATCH(C160,Products_T[SKU],0))</f>
        <v>Local Sourcing Ltd</v>
      </c>
      <c r="G160">
        <f t="shared" ref="G160:G181" si="29">L130</f>
        <v>145</v>
      </c>
      <c r="H160" s="3">
        <v>288</v>
      </c>
      <c r="I160" s="3">
        <v>325</v>
      </c>
      <c r="J160" s="3">
        <v>0</v>
      </c>
      <c r="K160" s="3">
        <v>0</v>
      </c>
      <c r="L160">
        <f t="shared" si="24"/>
        <v>108</v>
      </c>
      <c r="M160" s="10">
        <f>L160*INDEX(Products_T[UnitCost],MATCH(C160,Products_T[SKU],0))</f>
        <v>66960</v>
      </c>
      <c r="N160">
        <f>ROUND(INDEX(Products_T[AvgDailyUsage],MATCH(C160,Products_T[SKU],0))*(INDEX(Products_T[AvgLeadTime],MATCH(C160,Products_T[SKU],0))+INDEX(Products_T[LeadTimeRange],MATCH(C160,Products_T[SKU],0)))+INDEX(Products_T[SafetyStock],MATCH(C160,Products_T[SKU],0)),0)</f>
        <v>67</v>
      </c>
      <c r="O160" s="4">
        <f>IFERROR(L160/INDEX(Products_T[AvgDailyUsage],MATCH(C160,Products_T[SKU],0)),0)</f>
        <v>12.371134020618555</v>
      </c>
      <c r="P160" t="str">
        <f t="shared" si="25"/>
        <v>Healthy</v>
      </c>
      <c r="Q160" t="str">
        <f t="shared" si="26"/>
        <v>No</v>
      </c>
      <c r="R160">
        <f t="shared" si="27"/>
        <v>3</v>
      </c>
      <c r="S160" s="2">
        <f t="shared" si="28"/>
        <v>46203</v>
      </c>
      <c r="T160" s="12">
        <f>IFERROR(S160-_xlfn.MAXIFS(Transactions_T[Date],Transactions_T[SKU],C160,Transactions_T[Date],"&lt;="&amp;S160),"")</f>
        <v>7</v>
      </c>
    </row>
    <row r="161" spans="1:20" x14ac:dyDescent="0.25">
      <c r="A161" s="7">
        <v>46174</v>
      </c>
      <c r="B161" s="3" t="s">
        <v>34</v>
      </c>
      <c r="C161" s="3" t="s">
        <v>74</v>
      </c>
      <c r="D161" t="str">
        <f>INDEX(Products_T[ProductName],MATCH(C161,Products_T[SKU],0))</f>
        <v>Always Sanitary Pads</v>
      </c>
      <c r="E161" t="str">
        <f>INDEX(Products_T[Category],MATCH(C161,Products_T[SKU],0))</f>
        <v>Personal Care</v>
      </c>
      <c r="F161" t="str">
        <f>INDEX(Products_T[SupplierName],MATCH(C161,Products_T[SKU],0))</f>
        <v>Premier Supplies Ltd</v>
      </c>
      <c r="G161">
        <f t="shared" si="29"/>
        <v>69</v>
      </c>
      <c r="H161" s="3">
        <v>77</v>
      </c>
      <c r="I161" s="3">
        <v>122</v>
      </c>
      <c r="J161" s="3">
        <v>0</v>
      </c>
      <c r="K161" s="3">
        <v>0</v>
      </c>
      <c r="L161">
        <f t="shared" si="24"/>
        <v>24</v>
      </c>
      <c r="M161" s="10">
        <f>L161*INDEX(Products_T[UnitCost],MATCH(C161,Products_T[SKU],0))</f>
        <v>9120</v>
      </c>
      <c r="N161">
        <f>ROUND(INDEX(Products_T[AvgDailyUsage],MATCH(C161,Products_T[SKU],0))*(INDEX(Products_T[AvgLeadTime],MATCH(C161,Products_T[SKU],0))+INDEX(Products_T[LeadTimeRange],MATCH(C161,Products_T[SKU],0)))+INDEX(Products_T[SafetyStock],MATCH(C161,Products_T[SKU],0)),0)</f>
        <v>75</v>
      </c>
      <c r="O161" s="4">
        <f>IFERROR(L161/INDEX(Products_T[AvgDailyUsage],MATCH(C161,Products_T[SKU],0)),0)</f>
        <v>4.615384615384615</v>
      </c>
      <c r="P161" t="str">
        <f t="shared" si="25"/>
        <v>Critical</v>
      </c>
      <c r="Q161" t="str">
        <f t="shared" si="26"/>
        <v>Yes</v>
      </c>
      <c r="R161">
        <f t="shared" si="27"/>
        <v>1</v>
      </c>
      <c r="S161" s="2">
        <f t="shared" si="28"/>
        <v>46203</v>
      </c>
      <c r="T161" s="12">
        <f>IFERROR(S161-_xlfn.MAXIFS(Transactions_T[Date],Transactions_T[SKU],C161,Transactions_T[Date],"&lt;="&amp;S161),"")</f>
        <v>8</v>
      </c>
    </row>
    <row r="162" spans="1:20" x14ac:dyDescent="0.25">
      <c r="A162" s="7">
        <v>46174</v>
      </c>
      <c r="B162" s="3" t="s">
        <v>34</v>
      </c>
      <c r="C162" s="3" t="s">
        <v>76</v>
      </c>
      <c r="D162" t="str">
        <f>INDEX(Products_T[ProductName],MATCH(C162,Products_T[SKU],0))</f>
        <v>Indomie Noodles Carton</v>
      </c>
      <c r="E162" t="str">
        <f>INDEX(Products_T[Category],MATCH(C162,Products_T[SKU],0))</f>
        <v>Packaged Foods</v>
      </c>
      <c r="F162" t="str">
        <f>INDEX(Products_T[SupplierName],MATCH(C162,Products_T[SKU],0))</f>
        <v>Bulk Wholesale Co</v>
      </c>
      <c r="G162">
        <f t="shared" si="29"/>
        <v>81</v>
      </c>
      <c r="H162" s="3">
        <v>285</v>
      </c>
      <c r="I162" s="3">
        <v>285</v>
      </c>
      <c r="J162" s="3">
        <v>0</v>
      </c>
      <c r="K162" s="3">
        <v>0</v>
      </c>
      <c r="L162">
        <f t="shared" ref="L162:L181" si="30">MAX(G162+H162-I162-J162+K162,0)</f>
        <v>81</v>
      </c>
      <c r="M162" s="10">
        <f>L162*INDEX(Products_T[UnitCost],MATCH(C162,Products_T[SKU],0))</f>
        <v>340200</v>
      </c>
      <c r="N162">
        <f>ROUND(INDEX(Products_T[AvgDailyUsage],MATCH(C162,Products_T[SKU],0))*(INDEX(Products_T[AvgLeadTime],MATCH(C162,Products_T[SKU],0))+INDEX(Products_T[LeadTimeRange],MATCH(C162,Products_T[SKU],0)))+INDEX(Products_T[SafetyStock],MATCH(C162,Products_T[SKU],0)),0)</f>
        <v>69</v>
      </c>
      <c r="O162" s="4">
        <f>IFERROR(L162/INDEX(Products_T[AvgDailyUsage],MATCH(C162,Products_T[SKU],0)),0)</f>
        <v>10.505836575875486</v>
      </c>
      <c r="P162" t="str">
        <f t="shared" ref="P162:P181" si="31">IF(L162=0,"Out of Stock",IF(L162&lt;0.5*N162,"Critical",IF(L162&lt;=N162,"Reorder",IF(L162&gt;2*N162,"Overstock","Healthy"))))</f>
        <v>Healthy</v>
      </c>
      <c r="Q162" t="str">
        <f t="shared" ref="Q162:Q181" si="32">IF(OR(P162="Out of Stock",P162="Critical",P162="Reorder"),"Yes","No")</f>
        <v>No</v>
      </c>
      <c r="R162">
        <f t="shared" ref="R162:R181" si="33">_xlfn.SWITCH(P162,"Out of Stock",0,"Critical",1,"Reorder",2,"Healthy",3,"Overstock",4,5)</f>
        <v>3</v>
      </c>
      <c r="S162" s="2">
        <f t="shared" ref="S162:S181" si="34">EOMONTH(A162,0)</f>
        <v>46203</v>
      </c>
      <c r="T162" s="12">
        <f>IFERROR(S162-_xlfn.MAXIFS(Transactions_T[Date],Transactions_T[SKU],C162,Transactions_T[Date],"&lt;="&amp;S162),"")</f>
        <v>14</v>
      </c>
    </row>
    <row r="163" spans="1:20" x14ac:dyDescent="0.25">
      <c r="A163" s="7">
        <v>46174</v>
      </c>
      <c r="B163" s="3" t="s">
        <v>34</v>
      </c>
      <c r="C163" s="3" t="s">
        <v>79</v>
      </c>
      <c r="D163" t="str">
        <f>INDEX(Products_T[ProductName],MATCH(C163,Products_T[SKU],0))</f>
        <v>Golden Penny Semovita 1kg</v>
      </c>
      <c r="E163" t="str">
        <f>INDEX(Products_T[Category],MATCH(C163,Products_T[SKU],0))</f>
        <v>Packaged Foods</v>
      </c>
      <c r="F163" t="str">
        <f>INDEX(Products_T[SupplierName],MATCH(C163,Products_T[SKU],0))</f>
        <v>Bulk Wholesale Co</v>
      </c>
      <c r="G163">
        <f t="shared" si="29"/>
        <v>158</v>
      </c>
      <c r="H163" s="3">
        <v>213</v>
      </c>
      <c r="I163" s="3">
        <v>274</v>
      </c>
      <c r="J163" s="3">
        <v>0</v>
      </c>
      <c r="K163" s="3">
        <v>0</v>
      </c>
      <c r="L163">
        <f t="shared" si="30"/>
        <v>97</v>
      </c>
      <c r="M163" s="10">
        <f>L163*INDEX(Products_T[UnitCost],MATCH(C163,Products_T[SKU],0))</f>
        <v>82450</v>
      </c>
      <c r="N163">
        <f>ROUND(INDEX(Products_T[AvgDailyUsage],MATCH(C163,Products_T[SKU],0))*(INDEX(Products_T[AvgLeadTime],MATCH(C163,Products_T[SKU],0))+INDEX(Products_T[LeadTimeRange],MATCH(C163,Products_T[SKU],0)))+INDEX(Products_T[SafetyStock],MATCH(C163,Products_T[SKU],0)),0)</f>
        <v>69</v>
      </c>
      <c r="O163" s="4">
        <f>IFERROR(L163/INDEX(Products_T[AvgDailyUsage],MATCH(C163,Products_T[SKU],0)),0)</f>
        <v>13.79800853485064</v>
      </c>
      <c r="P163" t="str">
        <f t="shared" si="31"/>
        <v>Healthy</v>
      </c>
      <c r="Q163" t="str">
        <f t="shared" si="32"/>
        <v>No</v>
      </c>
      <c r="R163">
        <f t="shared" si="33"/>
        <v>3</v>
      </c>
      <c r="S163" s="2">
        <f t="shared" si="34"/>
        <v>46203</v>
      </c>
      <c r="T163" s="12">
        <f>IFERROR(S163-_xlfn.MAXIFS(Transactions_T[Date],Transactions_T[SKU],C163,Transactions_T[Date],"&lt;="&amp;S163),"")</f>
        <v>8</v>
      </c>
    </row>
    <row r="164" spans="1:20" x14ac:dyDescent="0.25">
      <c r="A164" s="7">
        <v>46174</v>
      </c>
      <c r="B164" s="3" t="s">
        <v>34</v>
      </c>
      <c r="C164" s="3" t="s">
        <v>81</v>
      </c>
      <c r="D164" t="str">
        <f>INDEX(Products_T[ProductName],MATCH(C164,Products_T[SKU],0))</f>
        <v>Peak Milk Tin 400g</v>
      </c>
      <c r="E164" t="str">
        <f>INDEX(Products_T[Category],MATCH(C164,Products_T[SKU],0))</f>
        <v>Packaged Foods</v>
      </c>
      <c r="F164" t="str">
        <f>INDEX(Products_T[SupplierName],MATCH(C164,Products_T[SKU],0))</f>
        <v>Global Distributors Ltd</v>
      </c>
      <c r="G164">
        <f t="shared" si="29"/>
        <v>343</v>
      </c>
      <c r="H164" s="3">
        <v>62</v>
      </c>
      <c r="I164" s="3">
        <v>185</v>
      </c>
      <c r="J164" s="3">
        <v>0</v>
      </c>
      <c r="K164" s="3">
        <v>0</v>
      </c>
      <c r="L164">
        <f t="shared" si="30"/>
        <v>220</v>
      </c>
      <c r="M164" s="10">
        <f>L164*INDEX(Products_T[UnitCost],MATCH(C164,Products_T[SKU],0))</f>
        <v>149600</v>
      </c>
      <c r="N164">
        <f>ROUND(INDEX(Products_T[AvgDailyUsage],MATCH(C164,Products_T[SKU],0))*(INDEX(Products_T[AvgLeadTime],MATCH(C164,Products_T[SKU],0))+INDEX(Products_T[LeadTimeRange],MATCH(C164,Products_T[SKU],0)))+INDEX(Products_T[SafetyStock],MATCH(C164,Products_T[SKU],0)),0)</f>
        <v>85</v>
      </c>
      <c r="O164" s="4">
        <f>IFERROR(L164/INDEX(Products_T[AvgDailyUsage],MATCH(C164,Products_T[SKU],0)),0)</f>
        <v>30.470914127423825</v>
      </c>
      <c r="P164" t="str">
        <f t="shared" si="31"/>
        <v>Overstock</v>
      </c>
      <c r="Q164" t="str">
        <f t="shared" si="32"/>
        <v>No</v>
      </c>
      <c r="R164">
        <f t="shared" si="33"/>
        <v>4</v>
      </c>
      <c r="S164" s="2">
        <f t="shared" si="34"/>
        <v>46203</v>
      </c>
      <c r="T164" s="12">
        <f>IFERROR(S164-_xlfn.MAXIFS(Transactions_T[Date],Transactions_T[SKU],C164,Transactions_T[Date],"&lt;="&amp;S164),"")</f>
        <v>15</v>
      </c>
    </row>
    <row r="165" spans="1:20" x14ac:dyDescent="0.25">
      <c r="A165" s="7">
        <v>46174</v>
      </c>
      <c r="B165" s="3" t="s">
        <v>34</v>
      </c>
      <c r="C165" s="3" t="s">
        <v>83</v>
      </c>
      <c r="D165" t="str">
        <f>INDEX(Products_T[ProductName],MATCH(C165,Products_T[SKU],0))</f>
        <v>Dangote Pasta 500g</v>
      </c>
      <c r="E165" t="str">
        <f>INDEX(Products_T[Category],MATCH(C165,Products_T[SKU],0))</f>
        <v>Packaged Foods</v>
      </c>
      <c r="F165" t="str">
        <f>INDEX(Products_T[SupplierName],MATCH(C165,Products_T[SKU],0))</f>
        <v>Bulk Wholesale Co</v>
      </c>
      <c r="G165">
        <f t="shared" si="29"/>
        <v>62</v>
      </c>
      <c r="H165" s="3">
        <v>191</v>
      </c>
      <c r="I165" s="3">
        <v>184</v>
      </c>
      <c r="J165" s="3">
        <v>0</v>
      </c>
      <c r="K165" s="3">
        <v>0</v>
      </c>
      <c r="L165">
        <f t="shared" si="30"/>
        <v>69</v>
      </c>
      <c r="M165" s="10">
        <f>L165*INDEX(Products_T[UnitCost],MATCH(C165,Products_T[SKU],0))</f>
        <v>22080</v>
      </c>
      <c r="N165">
        <f>ROUND(INDEX(Products_T[AvgDailyUsage],MATCH(C165,Products_T[SKU],0))*(INDEX(Products_T[AvgLeadTime],MATCH(C165,Products_T[SKU],0))+INDEX(Products_T[LeadTimeRange],MATCH(C165,Products_T[SKU],0)))+INDEX(Products_T[SafetyStock],MATCH(C165,Products_T[SKU],0)),0)</f>
        <v>78</v>
      </c>
      <c r="O165" s="4">
        <f>IFERROR(L165/INDEX(Products_T[AvgDailyUsage],MATCH(C165,Products_T[SKU],0)),0)</f>
        <v>10.13215859030837</v>
      </c>
      <c r="P165" t="str">
        <f t="shared" si="31"/>
        <v>Reorder</v>
      </c>
      <c r="Q165" t="str">
        <f t="shared" si="32"/>
        <v>Yes</v>
      </c>
      <c r="R165">
        <f t="shared" si="33"/>
        <v>2</v>
      </c>
      <c r="S165" s="2">
        <f t="shared" si="34"/>
        <v>46203</v>
      </c>
      <c r="T165" s="12">
        <f>IFERROR(S165-_xlfn.MAXIFS(Transactions_T[Date],Transactions_T[SKU],C165,Transactions_T[Date],"&lt;="&amp;S165),"")</f>
        <v>15</v>
      </c>
    </row>
    <row r="166" spans="1:20" x14ac:dyDescent="0.25">
      <c r="A166" s="7">
        <v>46174</v>
      </c>
      <c r="B166" s="3" t="s">
        <v>34</v>
      </c>
      <c r="C166" s="3" t="s">
        <v>85</v>
      </c>
      <c r="D166" t="str">
        <f>INDEX(Products_T[ProductName],MATCH(C166,Products_T[SKU],0))</f>
        <v>Kings Vegetable Oil 1L</v>
      </c>
      <c r="E166" t="str">
        <f>INDEX(Products_T[Category],MATCH(C166,Products_T[SKU],0))</f>
        <v>Packaged Foods</v>
      </c>
      <c r="F166" t="str">
        <f>INDEX(Products_T[SupplierName],MATCH(C166,Products_T[SKU],0))</f>
        <v>Global Distributors Ltd</v>
      </c>
      <c r="G166">
        <f t="shared" si="29"/>
        <v>66</v>
      </c>
      <c r="H166" s="3">
        <v>89</v>
      </c>
      <c r="I166" s="3">
        <v>88</v>
      </c>
      <c r="J166" s="3">
        <v>0</v>
      </c>
      <c r="K166" s="3">
        <v>5</v>
      </c>
      <c r="L166">
        <f t="shared" si="30"/>
        <v>72</v>
      </c>
      <c r="M166" s="10">
        <f>L166*INDEX(Products_T[UnitCost],MATCH(C166,Products_T[SKU],0))</f>
        <v>104400</v>
      </c>
      <c r="N166">
        <f>ROUND(INDEX(Products_T[AvgDailyUsage],MATCH(C166,Products_T[SKU],0))*(INDEX(Products_T[AvgLeadTime],MATCH(C166,Products_T[SKU],0))+INDEX(Products_T[LeadTimeRange],MATCH(C166,Products_T[SKU],0)))+INDEX(Products_T[SafetyStock],MATCH(C166,Products_T[SKU],0)),0)</f>
        <v>46</v>
      </c>
      <c r="O166" s="4">
        <f>IFERROR(L166/INDEX(Products_T[AvgDailyUsage],MATCH(C166,Products_T[SKU],0)),0)</f>
        <v>23.15112540192926</v>
      </c>
      <c r="P166" t="str">
        <f t="shared" si="31"/>
        <v>Healthy</v>
      </c>
      <c r="Q166" t="str">
        <f t="shared" si="32"/>
        <v>No</v>
      </c>
      <c r="R166">
        <f t="shared" si="33"/>
        <v>3</v>
      </c>
      <c r="S166" s="2">
        <f t="shared" si="34"/>
        <v>46203</v>
      </c>
      <c r="T166" s="12">
        <f>IFERROR(S166-_xlfn.MAXIFS(Transactions_T[Date],Transactions_T[SKU],C166,Transactions_T[Date],"&lt;="&amp;S166),"")</f>
        <v>1</v>
      </c>
    </row>
    <row r="167" spans="1:20" x14ac:dyDescent="0.25">
      <c r="A167" s="7">
        <v>46174</v>
      </c>
      <c r="B167" s="3" t="s">
        <v>34</v>
      </c>
      <c r="C167" s="3" t="s">
        <v>87</v>
      </c>
      <c r="D167" t="str">
        <f>INDEX(Products_T[ProductName],MATCH(C167,Products_T[SKU],0))</f>
        <v>Titus Sardine Tin</v>
      </c>
      <c r="E167" t="str">
        <f>INDEX(Products_T[Category],MATCH(C167,Products_T[SKU],0))</f>
        <v>Packaged Foods</v>
      </c>
      <c r="F167" t="str">
        <f>INDEX(Products_T[SupplierName],MATCH(C167,Products_T[SKU],0))</f>
        <v>Bulk Wholesale Co</v>
      </c>
      <c r="G167">
        <f t="shared" si="29"/>
        <v>169</v>
      </c>
      <c r="H167" s="3">
        <v>0</v>
      </c>
      <c r="I167" s="3">
        <v>140</v>
      </c>
      <c r="J167" s="3">
        <v>0</v>
      </c>
      <c r="K167" s="3">
        <v>0</v>
      </c>
      <c r="L167">
        <f t="shared" si="30"/>
        <v>29</v>
      </c>
      <c r="M167" s="10">
        <f>L167*INDEX(Products_T[UnitCost],MATCH(C167,Products_T[SKU],0))</f>
        <v>16820</v>
      </c>
      <c r="N167">
        <f>ROUND(INDEX(Products_T[AvgDailyUsage],MATCH(C167,Products_T[SKU],0))*(INDEX(Products_T[AvgLeadTime],MATCH(C167,Products_T[SKU],0))+INDEX(Products_T[LeadTimeRange],MATCH(C167,Products_T[SKU],0)))+INDEX(Products_T[SafetyStock],MATCH(C167,Products_T[SKU],0)),0)</f>
        <v>52</v>
      </c>
      <c r="O167" s="4">
        <f>IFERROR(L167/INDEX(Products_T[AvgDailyUsage],MATCH(C167,Products_T[SKU],0)),0)</f>
        <v>5.4820415879017013</v>
      </c>
      <c r="P167" t="str">
        <f t="shared" si="31"/>
        <v>Reorder</v>
      </c>
      <c r="Q167" t="str">
        <f t="shared" si="32"/>
        <v>Yes</v>
      </c>
      <c r="R167">
        <f t="shared" si="33"/>
        <v>2</v>
      </c>
      <c r="S167" s="2">
        <f t="shared" si="34"/>
        <v>46203</v>
      </c>
      <c r="T167" s="12">
        <f>IFERROR(S167-_xlfn.MAXIFS(Transactions_T[Date],Transactions_T[SKU],C167,Transactions_T[Date],"&lt;="&amp;S167),"")</f>
        <v>15</v>
      </c>
    </row>
    <row r="168" spans="1:20" x14ac:dyDescent="0.25">
      <c r="A168" s="7">
        <v>46174</v>
      </c>
      <c r="B168" s="3" t="s">
        <v>34</v>
      </c>
      <c r="C168" s="3" t="s">
        <v>89</v>
      </c>
      <c r="D168" t="str">
        <f>INDEX(Products_T[ProductName],MATCH(C168,Products_T[SKU],0))</f>
        <v>Nasco Cornflakes 500g</v>
      </c>
      <c r="E168" t="str">
        <f>INDEX(Products_T[Category],MATCH(C168,Products_T[SKU],0))</f>
        <v>Packaged Foods</v>
      </c>
      <c r="F168" t="str">
        <f>INDEX(Products_T[SupplierName],MATCH(C168,Products_T[SKU],0))</f>
        <v>Quality Imports Ltd</v>
      </c>
      <c r="G168">
        <f t="shared" si="29"/>
        <v>162</v>
      </c>
      <c r="H168" s="3">
        <v>0</v>
      </c>
      <c r="I168" s="3">
        <v>0</v>
      </c>
      <c r="J168" s="3">
        <v>0</v>
      </c>
      <c r="K168" s="3">
        <v>0</v>
      </c>
      <c r="L168">
        <f t="shared" si="30"/>
        <v>162</v>
      </c>
      <c r="M168" s="10">
        <f>L168*INDEX(Products_T[UnitCost],MATCH(C168,Products_T[SKU],0))</f>
        <v>153900</v>
      </c>
      <c r="N168">
        <f>ROUND(INDEX(Products_T[AvgDailyUsage],MATCH(C168,Products_T[SKU],0))*(INDEX(Products_T[AvgLeadTime],MATCH(C168,Products_T[SKU],0))+INDEX(Products_T[LeadTimeRange],MATCH(C168,Products_T[SKU],0)))+INDEX(Products_T[SafetyStock],MATCH(C168,Products_T[SKU],0)),0)</f>
        <v>85</v>
      </c>
      <c r="O168" s="4">
        <f>IFERROR(L168/INDEX(Products_T[AvgDailyUsage],MATCH(C168,Products_T[SKU],0)),0)</f>
        <v>30.223880597014922</v>
      </c>
      <c r="P168" t="str">
        <f t="shared" si="31"/>
        <v>Healthy</v>
      </c>
      <c r="Q168" t="str">
        <f t="shared" si="32"/>
        <v>No</v>
      </c>
      <c r="R168">
        <f t="shared" si="33"/>
        <v>3</v>
      </c>
      <c r="S168" s="2">
        <f t="shared" si="34"/>
        <v>46203</v>
      </c>
      <c r="T168" s="12">
        <f>IFERROR(S168-_xlfn.MAXIFS(Transactions_T[Date],Transactions_T[SKU],C168,Transactions_T[Date],"&lt;="&amp;S168),"")</f>
        <v>95</v>
      </c>
    </row>
    <row r="169" spans="1:20" x14ac:dyDescent="0.25">
      <c r="A169" s="7">
        <v>46174</v>
      </c>
      <c r="B169" s="3" t="s">
        <v>34</v>
      </c>
      <c r="C169" s="3" t="s">
        <v>91</v>
      </c>
      <c r="D169" t="str">
        <f>INDEX(Products_T[ProductName],MATCH(C169,Products_T[SKU],0))</f>
        <v>Omo Detergent 900g</v>
      </c>
      <c r="E169" t="str">
        <f>INDEX(Products_T[Category],MATCH(C169,Products_T[SKU],0))</f>
        <v>Household</v>
      </c>
      <c r="F169" t="str">
        <f>INDEX(Products_T[SupplierName],MATCH(C169,Products_T[SKU],0))</f>
        <v>Premier Supplies Ltd</v>
      </c>
      <c r="G169">
        <f t="shared" si="29"/>
        <v>47</v>
      </c>
      <c r="H169" s="3">
        <v>220</v>
      </c>
      <c r="I169" s="3">
        <v>149</v>
      </c>
      <c r="J169" s="3">
        <v>0</v>
      </c>
      <c r="K169" s="3">
        <v>0</v>
      </c>
      <c r="L169">
        <f t="shared" si="30"/>
        <v>118</v>
      </c>
      <c r="M169" s="10">
        <f>L169*INDEX(Products_T[UnitCost],MATCH(C169,Products_T[SKU],0))</f>
        <v>80240</v>
      </c>
      <c r="N169">
        <f>ROUND(INDEX(Products_T[AvgDailyUsage],MATCH(C169,Products_T[SKU],0))*(INDEX(Products_T[AvgLeadTime],MATCH(C169,Products_T[SKU],0))+INDEX(Products_T[LeadTimeRange],MATCH(C169,Products_T[SKU],0)))+INDEX(Products_T[SafetyStock],MATCH(C169,Products_T[SKU],0)),0)</f>
        <v>81</v>
      </c>
      <c r="O169" s="4">
        <f>IFERROR(L169/INDEX(Products_T[AvgDailyUsage],MATCH(C169,Products_T[SKU],0)),0)</f>
        <v>20.344827586206897</v>
      </c>
      <c r="P169" t="str">
        <f t="shared" si="31"/>
        <v>Healthy</v>
      </c>
      <c r="Q169" t="str">
        <f t="shared" si="32"/>
        <v>No</v>
      </c>
      <c r="R169">
        <f t="shared" si="33"/>
        <v>3</v>
      </c>
      <c r="S169" s="2">
        <f t="shared" si="34"/>
        <v>46203</v>
      </c>
      <c r="T169" s="12">
        <f>IFERROR(S169-_xlfn.MAXIFS(Transactions_T[Date],Transactions_T[SKU],C169,Transactions_T[Date],"&lt;="&amp;S169),"")</f>
        <v>5</v>
      </c>
    </row>
    <row r="170" spans="1:20" x14ac:dyDescent="0.25">
      <c r="A170" s="7">
        <v>46174</v>
      </c>
      <c r="B170" s="3" t="s">
        <v>34</v>
      </c>
      <c r="C170" s="3" t="s">
        <v>94</v>
      </c>
      <c r="D170" t="str">
        <f>INDEX(Products_T[ProductName],MATCH(C170,Products_T[SKU],0))</f>
        <v>Harpic Toilet Cleaner</v>
      </c>
      <c r="E170" t="str">
        <f>INDEX(Products_T[Category],MATCH(C170,Products_T[SKU],0))</f>
        <v>Household</v>
      </c>
      <c r="F170" t="str">
        <f>INDEX(Products_T[SupplierName],MATCH(C170,Products_T[SKU],0))</f>
        <v>Bulk Wholesale Co</v>
      </c>
      <c r="G170">
        <f t="shared" si="29"/>
        <v>0</v>
      </c>
      <c r="H170" s="3">
        <v>227</v>
      </c>
      <c r="I170" s="3">
        <v>136</v>
      </c>
      <c r="J170" s="3">
        <v>0</v>
      </c>
      <c r="K170" s="3">
        <v>0</v>
      </c>
      <c r="L170">
        <f t="shared" si="30"/>
        <v>91</v>
      </c>
      <c r="M170" s="10">
        <f>L170*INDEX(Products_T[UnitCost],MATCH(C170,Products_T[SKU],0))</f>
        <v>47320</v>
      </c>
      <c r="N170">
        <f>ROUND(INDEX(Products_T[AvgDailyUsage],MATCH(C170,Products_T[SKU],0))*(INDEX(Products_T[AvgLeadTime],MATCH(C170,Products_T[SKU],0))+INDEX(Products_T[LeadTimeRange],MATCH(C170,Products_T[SKU],0)))+INDEX(Products_T[SafetyStock],MATCH(C170,Products_T[SKU],0)),0)</f>
        <v>56</v>
      </c>
      <c r="O170" s="4">
        <f>IFERROR(L170/INDEX(Products_T[AvgDailyUsage],MATCH(C170,Products_T[SKU],0)),0)</f>
        <v>17.843137254901961</v>
      </c>
      <c r="P170" t="str">
        <f t="shared" si="31"/>
        <v>Healthy</v>
      </c>
      <c r="Q170" t="str">
        <f t="shared" si="32"/>
        <v>No</v>
      </c>
      <c r="R170">
        <f t="shared" si="33"/>
        <v>3</v>
      </c>
      <c r="S170" s="2">
        <f t="shared" si="34"/>
        <v>46203</v>
      </c>
      <c r="T170" s="12">
        <f>IFERROR(S170-_xlfn.MAXIFS(Transactions_T[Date],Transactions_T[SKU],C170,Transactions_T[Date],"&lt;="&amp;S170),"")</f>
        <v>12</v>
      </c>
    </row>
    <row r="171" spans="1:20" x14ac:dyDescent="0.25">
      <c r="A171" s="7">
        <v>46174</v>
      </c>
      <c r="B171" s="3" t="s">
        <v>34</v>
      </c>
      <c r="C171" s="3" t="s">
        <v>96</v>
      </c>
      <c r="D171" t="str">
        <f>INDEX(Products_T[ProductName],MATCH(C171,Products_T[SKU],0))</f>
        <v>Hypo Bleach 1L</v>
      </c>
      <c r="E171" t="str">
        <f>INDEX(Products_T[Category],MATCH(C171,Products_T[SKU],0))</f>
        <v>Household</v>
      </c>
      <c r="F171" t="str">
        <f>INDEX(Products_T[SupplierName],MATCH(C171,Products_T[SKU],0))</f>
        <v>Bulk Wholesale Co</v>
      </c>
      <c r="G171">
        <f t="shared" si="29"/>
        <v>32</v>
      </c>
      <c r="H171" s="3">
        <v>150</v>
      </c>
      <c r="I171" s="3">
        <v>133</v>
      </c>
      <c r="J171" s="3">
        <v>0</v>
      </c>
      <c r="K171" s="3">
        <v>0</v>
      </c>
      <c r="L171">
        <f t="shared" si="30"/>
        <v>49</v>
      </c>
      <c r="M171" s="10">
        <f>L171*INDEX(Products_T[UnitCost],MATCH(C171,Products_T[SKU],0))</f>
        <v>16660</v>
      </c>
      <c r="N171">
        <f>ROUND(INDEX(Products_T[AvgDailyUsage],MATCH(C171,Products_T[SKU],0))*(INDEX(Products_T[AvgLeadTime],MATCH(C171,Products_T[SKU],0))+INDEX(Products_T[LeadTimeRange],MATCH(C171,Products_T[SKU],0)))+INDEX(Products_T[SafetyStock],MATCH(C171,Products_T[SKU],0)),0)</f>
        <v>70</v>
      </c>
      <c r="O171" s="4">
        <f>IFERROR(L171/INDEX(Products_T[AvgDailyUsage],MATCH(C171,Products_T[SKU],0)),0)</f>
        <v>8.5964912280701746</v>
      </c>
      <c r="P171" t="str">
        <f t="shared" si="31"/>
        <v>Reorder</v>
      </c>
      <c r="Q171" t="str">
        <f t="shared" si="32"/>
        <v>Yes</v>
      </c>
      <c r="R171">
        <f t="shared" si="33"/>
        <v>2</v>
      </c>
      <c r="S171" s="2">
        <f t="shared" si="34"/>
        <v>46203</v>
      </c>
      <c r="T171" s="12">
        <f>IFERROR(S171-_xlfn.MAXIFS(Transactions_T[Date],Transactions_T[SKU],C171,Transactions_T[Date],"&lt;="&amp;S171),"")</f>
        <v>10</v>
      </c>
    </row>
    <row r="172" spans="1:20" x14ac:dyDescent="0.25">
      <c r="A172" s="7">
        <v>46174</v>
      </c>
      <c r="B172" s="3" t="s">
        <v>34</v>
      </c>
      <c r="C172" s="3" t="s">
        <v>98</v>
      </c>
      <c r="D172" t="str">
        <f>INDEX(Products_T[ProductName],MATCH(C172,Products_T[SKU],0))</f>
        <v>Sunlight Dishwash Liquid</v>
      </c>
      <c r="E172" t="str">
        <f>INDEX(Products_T[Category],MATCH(C172,Products_T[SKU],0))</f>
        <v>Household</v>
      </c>
      <c r="F172" t="str">
        <f>INDEX(Products_T[SupplierName],MATCH(C172,Products_T[SKU],0))</f>
        <v>Premier Supplies Ltd</v>
      </c>
      <c r="G172">
        <f t="shared" si="29"/>
        <v>249</v>
      </c>
      <c r="H172" s="3">
        <v>0</v>
      </c>
      <c r="I172" s="3">
        <v>98</v>
      </c>
      <c r="J172" s="3">
        <v>0</v>
      </c>
      <c r="K172" s="3">
        <v>0</v>
      </c>
      <c r="L172">
        <f t="shared" si="30"/>
        <v>151</v>
      </c>
      <c r="M172" s="10">
        <f>L172*INDEX(Products_T[UnitCost],MATCH(C172,Products_T[SKU],0))</f>
        <v>61910</v>
      </c>
      <c r="N172">
        <f>ROUND(INDEX(Products_T[AvgDailyUsage],MATCH(C172,Products_T[SKU],0))*(INDEX(Products_T[AvgLeadTime],MATCH(C172,Products_T[SKU],0))+INDEX(Products_T[LeadTimeRange],MATCH(C172,Products_T[SKU],0)))+INDEX(Products_T[SafetyStock],MATCH(C172,Products_T[SKU],0)),0)</f>
        <v>61</v>
      </c>
      <c r="O172" s="4">
        <f>IFERROR(L172/INDEX(Products_T[AvgDailyUsage],MATCH(C172,Products_T[SKU],0)),0)</f>
        <v>38.422391857506362</v>
      </c>
      <c r="P172" t="str">
        <f t="shared" si="31"/>
        <v>Overstock</v>
      </c>
      <c r="Q172" t="str">
        <f t="shared" si="32"/>
        <v>No</v>
      </c>
      <c r="R172">
        <f t="shared" si="33"/>
        <v>4</v>
      </c>
      <c r="S172" s="2">
        <f t="shared" si="34"/>
        <v>46203</v>
      </c>
      <c r="T172" s="12">
        <f>IFERROR(S172-_xlfn.MAXIFS(Transactions_T[Date],Transactions_T[SKU],C172,Transactions_T[Date],"&lt;="&amp;S172),"")</f>
        <v>2</v>
      </c>
    </row>
    <row r="173" spans="1:20" x14ac:dyDescent="0.25">
      <c r="A173" s="7">
        <v>46174</v>
      </c>
      <c r="B173" s="3" t="s">
        <v>34</v>
      </c>
      <c r="C173" s="3" t="s">
        <v>100</v>
      </c>
      <c r="D173" t="str">
        <f>INDEX(Products_T[ProductName],MATCH(C173,Products_T[SKU],0))</f>
        <v>Ambipur Air Freshener</v>
      </c>
      <c r="E173" t="str">
        <f>INDEX(Products_T[Category],MATCH(C173,Products_T[SKU],0))</f>
        <v>Household</v>
      </c>
      <c r="F173" t="str">
        <f>INDEX(Products_T[SupplierName],MATCH(C173,Products_T[SKU],0))</f>
        <v>Local Sourcing Ltd</v>
      </c>
      <c r="G173">
        <f t="shared" si="29"/>
        <v>77</v>
      </c>
      <c r="H173" s="3">
        <v>111</v>
      </c>
      <c r="I173" s="3">
        <v>188</v>
      </c>
      <c r="J173" s="3">
        <v>0</v>
      </c>
      <c r="K173" s="3">
        <v>0</v>
      </c>
      <c r="L173">
        <f t="shared" si="30"/>
        <v>0</v>
      </c>
      <c r="M173" s="10">
        <f>L173*INDEX(Products_T[UnitCost],MATCH(C173,Products_T[SKU],0))</f>
        <v>0</v>
      </c>
      <c r="N173">
        <f>ROUND(INDEX(Products_T[AvgDailyUsage],MATCH(C173,Products_T[SKU],0))*(INDEX(Products_T[AvgLeadTime],MATCH(C173,Products_T[SKU],0))+INDEX(Products_T[LeadTimeRange],MATCH(C173,Products_T[SKU],0)))+INDEX(Products_T[SafetyStock],MATCH(C173,Products_T[SKU],0)),0)</f>
        <v>49</v>
      </c>
      <c r="O173" s="4">
        <f>IFERROR(L173/INDEX(Products_T[AvgDailyUsage],MATCH(C173,Products_T[SKU],0)),0)</f>
        <v>0</v>
      </c>
      <c r="P173" t="str">
        <f t="shared" si="31"/>
        <v>Out of Stock</v>
      </c>
      <c r="Q173" t="str">
        <f t="shared" si="32"/>
        <v>Yes</v>
      </c>
      <c r="R173">
        <f t="shared" si="33"/>
        <v>0</v>
      </c>
      <c r="S173" s="2">
        <f t="shared" si="34"/>
        <v>46203</v>
      </c>
      <c r="T173" s="12">
        <f>IFERROR(S173-_xlfn.MAXIFS(Transactions_T[Date],Transactions_T[SKU],C173,Transactions_T[Date],"&lt;="&amp;S173),"")</f>
        <v>4</v>
      </c>
    </row>
    <row r="174" spans="1:20" x14ac:dyDescent="0.25">
      <c r="A174" s="7">
        <v>46174</v>
      </c>
      <c r="B174" s="3" t="s">
        <v>34</v>
      </c>
      <c r="C174" s="3" t="s">
        <v>102</v>
      </c>
      <c r="D174" t="str">
        <f>INDEX(Products_T[ProductName],MATCH(C174,Products_T[SKU],0))</f>
        <v>Rubbermaid Storage Box</v>
      </c>
      <c r="E174" t="str">
        <f>INDEX(Products_T[Category],MATCH(C174,Products_T[SKU],0))</f>
        <v>Household</v>
      </c>
      <c r="F174" t="str">
        <f>INDEX(Products_T[SupplierName],MATCH(C174,Products_T[SKU],0))</f>
        <v>Quality Imports Ltd</v>
      </c>
      <c r="G174">
        <f t="shared" si="29"/>
        <v>281</v>
      </c>
      <c r="H174" s="3">
        <v>0</v>
      </c>
      <c r="I174" s="3">
        <v>0</v>
      </c>
      <c r="J174" s="3">
        <v>0</v>
      </c>
      <c r="K174" s="3">
        <v>0</v>
      </c>
      <c r="L174">
        <f t="shared" si="30"/>
        <v>281</v>
      </c>
      <c r="M174" s="10">
        <f>L174*INDEX(Products_T[UnitCost],MATCH(C174,Products_T[SKU],0))</f>
        <v>786800</v>
      </c>
      <c r="N174">
        <f>ROUND(INDEX(Products_T[AvgDailyUsage],MATCH(C174,Products_T[SKU],0))*(INDEX(Products_T[AvgLeadTime],MATCH(C174,Products_T[SKU],0))+INDEX(Products_T[LeadTimeRange],MATCH(C174,Products_T[SKU],0)))+INDEX(Products_T[SafetyStock],MATCH(C174,Products_T[SKU],0)),0)</f>
        <v>82</v>
      </c>
      <c r="O174" s="4">
        <f>IFERROR(L174/INDEX(Products_T[AvgDailyUsage],MATCH(C174,Products_T[SKU],0)),0)</f>
        <v>47.226890756302517</v>
      </c>
      <c r="P174" t="str">
        <f t="shared" si="31"/>
        <v>Overstock</v>
      </c>
      <c r="Q174" t="str">
        <f t="shared" si="32"/>
        <v>No</v>
      </c>
      <c r="R174">
        <f t="shared" si="33"/>
        <v>4</v>
      </c>
      <c r="S174" s="2">
        <f t="shared" si="34"/>
        <v>46203</v>
      </c>
      <c r="T174" s="12">
        <f>IFERROR(S174-_xlfn.MAXIFS(Transactions_T[Date],Transactions_T[SKU],C174,Transactions_T[Date],"&lt;="&amp;S174),"")</f>
        <v>164</v>
      </c>
    </row>
    <row r="175" spans="1:20" x14ac:dyDescent="0.25">
      <c r="A175" s="7">
        <v>46174</v>
      </c>
      <c r="B175" s="3" t="s">
        <v>34</v>
      </c>
      <c r="C175" s="3" t="s">
        <v>104</v>
      </c>
      <c r="D175" t="str">
        <f>INDEX(Products_T[ProductName],MATCH(C175,Products_T[SKU],0))</f>
        <v>USB-C Charging Cable</v>
      </c>
      <c r="E175" t="str">
        <f>INDEX(Products_T[Category],MATCH(C175,Products_T[SKU],0))</f>
        <v>Electronics Accessories</v>
      </c>
      <c r="F175" t="str">
        <f>INDEX(Products_T[SupplierName],MATCH(C175,Products_T[SKU],0))</f>
        <v>Quality Imports Ltd</v>
      </c>
      <c r="G175">
        <f t="shared" si="29"/>
        <v>0</v>
      </c>
      <c r="H175" s="3">
        <v>139</v>
      </c>
      <c r="I175" s="3">
        <v>87</v>
      </c>
      <c r="J175" s="3">
        <v>0</v>
      </c>
      <c r="K175" s="3">
        <v>0</v>
      </c>
      <c r="L175">
        <f t="shared" si="30"/>
        <v>52</v>
      </c>
      <c r="M175" s="10">
        <f>L175*INDEX(Products_T[UnitCost],MATCH(C175,Products_T[SKU],0))</f>
        <v>93600</v>
      </c>
      <c r="N175">
        <f>ROUND(INDEX(Products_T[AvgDailyUsage],MATCH(C175,Products_T[SKU],0))*(INDEX(Products_T[AvgLeadTime],MATCH(C175,Products_T[SKU],0))+INDEX(Products_T[LeadTimeRange],MATCH(C175,Products_T[SKU],0)))+INDEX(Products_T[SafetyStock],MATCH(C175,Products_T[SKU],0)),0)</f>
        <v>45</v>
      </c>
      <c r="O175" s="4">
        <f>IFERROR(L175/INDEX(Products_T[AvgDailyUsage],MATCH(C175,Products_T[SKU],0)),0)</f>
        <v>20.883534136546182</v>
      </c>
      <c r="P175" t="str">
        <f t="shared" si="31"/>
        <v>Healthy</v>
      </c>
      <c r="Q175" t="str">
        <f t="shared" si="32"/>
        <v>No</v>
      </c>
      <c r="R175">
        <f t="shared" si="33"/>
        <v>3</v>
      </c>
      <c r="S175" s="2">
        <f t="shared" si="34"/>
        <v>46203</v>
      </c>
      <c r="T175" s="12">
        <f>IFERROR(S175-_xlfn.MAXIFS(Transactions_T[Date],Transactions_T[SKU],C175,Transactions_T[Date],"&lt;="&amp;S175),"")</f>
        <v>7</v>
      </c>
    </row>
    <row r="176" spans="1:20" x14ac:dyDescent="0.25">
      <c r="A176" s="7">
        <v>46174</v>
      </c>
      <c r="B176" s="3" t="s">
        <v>34</v>
      </c>
      <c r="C176" s="3" t="s">
        <v>107</v>
      </c>
      <c r="D176" t="str">
        <f>INDEX(Products_T[ProductName],MATCH(C176,Products_T[SKU],0))</f>
        <v>Bluetooth Earbuds</v>
      </c>
      <c r="E176" t="str">
        <f>INDEX(Products_T[Category],MATCH(C176,Products_T[SKU],0))</f>
        <v>Electronics Accessories</v>
      </c>
      <c r="F176" t="str">
        <f>INDEX(Products_T[SupplierName],MATCH(C176,Products_T[SKU],0))</f>
        <v>Quality Imports Ltd</v>
      </c>
      <c r="G176">
        <f t="shared" si="29"/>
        <v>0</v>
      </c>
      <c r="H176" s="3">
        <v>101</v>
      </c>
      <c r="I176" s="3">
        <v>87</v>
      </c>
      <c r="J176" s="3">
        <v>0</v>
      </c>
      <c r="K176" s="3">
        <v>0</v>
      </c>
      <c r="L176">
        <f t="shared" si="30"/>
        <v>14</v>
      </c>
      <c r="M176" s="10">
        <f>L176*INDEX(Products_T[UnitCost],MATCH(C176,Products_T[SKU],0))</f>
        <v>119000</v>
      </c>
      <c r="N176">
        <f>ROUND(INDEX(Products_T[AvgDailyUsage],MATCH(C176,Products_T[SKU],0))*(INDEX(Products_T[AvgLeadTime],MATCH(C176,Products_T[SKU],0))+INDEX(Products_T[LeadTimeRange],MATCH(C176,Products_T[SKU],0)))+INDEX(Products_T[SafetyStock],MATCH(C176,Products_T[SKU],0)),0)</f>
        <v>37</v>
      </c>
      <c r="O176" s="4">
        <f>IFERROR(L176/INDEX(Products_T[AvgDailyUsage],MATCH(C176,Products_T[SKU],0)),0)</f>
        <v>6.1946902654867264</v>
      </c>
      <c r="P176" t="str">
        <f t="shared" si="31"/>
        <v>Critical</v>
      </c>
      <c r="Q176" t="str">
        <f t="shared" si="32"/>
        <v>Yes</v>
      </c>
      <c r="R176">
        <f t="shared" si="33"/>
        <v>1</v>
      </c>
      <c r="S176" s="2">
        <f t="shared" si="34"/>
        <v>46203</v>
      </c>
      <c r="T176" s="12">
        <f>IFERROR(S176-_xlfn.MAXIFS(Transactions_T[Date],Transactions_T[SKU],C176,Transactions_T[Date],"&lt;="&amp;S176),"")</f>
        <v>2</v>
      </c>
    </row>
    <row r="177" spans="1:20" x14ac:dyDescent="0.25">
      <c r="A177" s="7">
        <v>46174</v>
      </c>
      <c r="B177" s="3" t="s">
        <v>34</v>
      </c>
      <c r="C177" s="3" t="s">
        <v>109</v>
      </c>
      <c r="D177" t="str">
        <f>INDEX(Products_T[ProductName],MATCH(C177,Products_T[SKU],0))</f>
        <v>HDMI Cable 1.5m</v>
      </c>
      <c r="E177" t="str">
        <f>INDEX(Products_T[Category],MATCH(C177,Products_T[SKU],0))</f>
        <v>Electronics Accessories</v>
      </c>
      <c r="F177" t="str">
        <f>INDEX(Products_T[SupplierName],MATCH(C177,Products_T[SKU],0))</f>
        <v>Quality Imports Ltd</v>
      </c>
      <c r="G177">
        <f t="shared" si="29"/>
        <v>73</v>
      </c>
      <c r="H177" s="3">
        <v>54</v>
      </c>
      <c r="I177" s="3">
        <v>92</v>
      </c>
      <c r="J177" s="3">
        <v>0</v>
      </c>
      <c r="K177" s="3">
        <v>0</v>
      </c>
      <c r="L177">
        <f t="shared" si="30"/>
        <v>35</v>
      </c>
      <c r="M177" s="10">
        <f>L177*INDEX(Products_T[UnitCost],MATCH(C177,Products_T[SKU],0))</f>
        <v>77000</v>
      </c>
      <c r="N177">
        <f>ROUND(INDEX(Products_T[AvgDailyUsage],MATCH(C177,Products_T[SKU],0))*(INDEX(Products_T[AvgLeadTime],MATCH(C177,Products_T[SKU],0))+INDEX(Products_T[LeadTimeRange],MATCH(C177,Products_T[SKU],0)))+INDEX(Products_T[SafetyStock],MATCH(C177,Products_T[SKU],0)),0)</f>
        <v>42</v>
      </c>
      <c r="O177" s="4">
        <f>IFERROR(L177/INDEX(Products_T[AvgDailyUsage],MATCH(C177,Products_T[SKU],0)),0)</f>
        <v>13.257575757575758</v>
      </c>
      <c r="P177" t="str">
        <f t="shared" si="31"/>
        <v>Reorder</v>
      </c>
      <c r="Q177" t="str">
        <f t="shared" si="32"/>
        <v>Yes</v>
      </c>
      <c r="R177">
        <f t="shared" si="33"/>
        <v>2</v>
      </c>
      <c r="S177" s="2">
        <f t="shared" si="34"/>
        <v>46203</v>
      </c>
      <c r="T177" s="12">
        <f>IFERROR(S177-_xlfn.MAXIFS(Transactions_T[Date],Transactions_T[SKU],C177,Transactions_T[Date],"&lt;="&amp;S177),"")</f>
        <v>8</v>
      </c>
    </row>
    <row r="178" spans="1:20" x14ac:dyDescent="0.25">
      <c r="A178" s="7">
        <v>46174</v>
      </c>
      <c r="B178" s="3" t="s">
        <v>34</v>
      </c>
      <c r="C178" s="3" t="s">
        <v>111</v>
      </c>
      <c r="D178" t="str">
        <f>INDEX(Products_T[ProductName],MATCH(C178,Products_T[SKU],0))</f>
        <v>Power Bank 10000mAh</v>
      </c>
      <c r="E178" t="str">
        <f>INDEX(Products_T[Category],MATCH(C178,Products_T[SKU],0))</f>
        <v>Electronics Accessories</v>
      </c>
      <c r="F178" t="str">
        <f>INDEX(Products_T[SupplierName],MATCH(C178,Products_T[SKU],0))</f>
        <v>Quality Imports Ltd</v>
      </c>
      <c r="G178">
        <f t="shared" si="29"/>
        <v>146</v>
      </c>
      <c r="H178" s="3">
        <v>0</v>
      </c>
      <c r="I178" s="3">
        <v>0</v>
      </c>
      <c r="J178" s="3">
        <v>0</v>
      </c>
      <c r="K178" s="3">
        <v>0</v>
      </c>
      <c r="L178">
        <f t="shared" si="30"/>
        <v>146</v>
      </c>
      <c r="M178" s="10">
        <f>L178*INDEX(Products_T[UnitCost],MATCH(C178,Products_T[SKU],0))</f>
        <v>905200</v>
      </c>
      <c r="N178">
        <f>ROUND(INDEX(Products_T[AvgDailyUsage],MATCH(C178,Products_T[SKU],0))*(INDEX(Products_T[AvgLeadTime],MATCH(C178,Products_T[SKU],0))+INDEX(Products_T[LeadTimeRange],MATCH(C178,Products_T[SKU],0)))+INDEX(Products_T[SafetyStock],MATCH(C178,Products_T[SKU],0)),0)</f>
        <v>37</v>
      </c>
      <c r="O178" s="4">
        <f>IFERROR(L178/INDEX(Products_T[AvgDailyUsage],MATCH(C178,Products_T[SKU],0)),0)</f>
        <v>64.888888888888886</v>
      </c>
      <c r="P178" t="str">
        <f t="shared" si="31"/>
        <v>Overstock</v>
      </c>
      <c r="Q178" t="str">
        <f t="shared" si="32"/>
        <v>No</v>
      </c>
      <c r="R178">
        <f t="shared" si="33"/>
        <v>4</v>
      </c>
      <c r="S178" s="2">
        <f t="shared" si="34"/>
        <v>46203</v>
      </c>
      <c r="T178" s="12">
        <f>IFERROR(S178-_xlfn.MAXIFS(Transactions_T[Date],Transactions_T[SKU],C178,Transactions_T[Date],"&lt;="&amp;S178),"")</f>
        <v>64</v>
      </c>
    </row>
    <row r="179" spans="1:20" x14ac:dyDescent="0.25">
      <c r="A179" s="7">
        <v>46174</v>
      </c>
      <c r="B179" s="3" t="s">
        <v>34</v>
      </c>
      <c r="C179" s="3" t="s">
        <v>113</v>
      </c>
      <c r="D179" t="str">
        <f>INDEX(Products_T[ProductName],MATCH(C179,Products_T[SKU],0))</f>
        <v>Phone Screen Protector</v>
      </c>
      <c r="E179" t="str">
        <f>INDEX(Products_T[Category],MATCH(C179,Products_T[SKU],0))</f>
        <v>Electronics Accessories</v>
      </c>
      <c r="F179" t="str">
        <f>INDEX(Products_T[SupplierName],MATCH(C179,Products_T[SKU],0))</f>
        <v>Quality Imports Ltd</v>
      </c>
      <c r="G179">
        <f t="shared" si="29"/>
        <v>121</v>
      </c>
      <c r="H179" s="3">
        <v>0</v>
      </c>
      <c r="I179" s="3">
        <v>42</v>
      </c>
      <c r="J179" s="3">
        <v>0</v>
      </c>
      <c r="K179" s="3">
        <v>0</v>
      </c>
      <c r="L179">
        <f t="shared" si="30"/>
        <v>79</v>
      </c>
      <c r="M179" s="10">
        <f>L179*INDEX(Products_T[UnitCost],MATCH(C179,Products_T[SKU],0))</f>
        <v>71100</v>
      </c>
      <c r="N179">
        <f>ROUND(INDEX(Products_T[AvgDailyUsage],MATCH(C179,Products_T[SKU],0))*(INDEX(Products_T[AvgLeadTime],MATCH(C179,Products_T[SKU],0))+INDEX(Products_T[LeadTimeRange],MATCH(C179,Products_T[SKU],0)))+INDEX(Products_T[SafetyStock],MATCH(C179,Products_T[SKU],0)),0)</f>
        <v>42</v>
      </c>
      <c r="O179" s="4">
        <f>IFERROR(L179/INDEX(Products_T[AvgDailyUsage],MATCH(C179,Products_T[SKU],0)),0)</f>
        <v>44.382022471910112</v>
      </c>
      <c r="P179" t="str">
        <f t="shared" si="31"/>
        <v>Healthy</v>
      </c>
      <c r="Q179" t="str">
        <f t="shared" si="32"/>
        <v>No</v>
      </c>
      <c r="R179">
        <f t="shared" si="33"/>
        <v>3</v>
      </c>
      <c r="S179" s="2">
        <f t="shared" si="34"/>
        <v>46203</v>
      </c>
      <c r="T179" s="12">
        <f>IFERROR(S179-_xlfn.MAXIFS(Transactions_T[Date],Transactions_T[SKU],C179,Transactions_T[Date],"&lt;="&amp;S179),"")</f>
        <v>5</v>
      </c>
    </row>
    <row r="180" spans="1:20" x14ac:dyDescent="0.25">
      <c r="A180" s="7">
        <v>46174</v>
      </c>
      <c r="B180" s="3" t="s">
        <v>34</v>
      </c>
      <c r="C180" s="3" t="s">
        <v>115</v>
      </c>
      <c r="D180" t="str">
        <f>INDEX(Products_T[ProductName],MATCH(C180,Products_T[SKU],0))</f>
        <v>Wireless Mouse</v>
      </c>
      <c r="E180" t="str">
        <f>INDEX(Products_T[Category],MATCH(C180,Products_T[SKU],0))</f>
        <v>Electronics Accessories</v>
      </c>
      <c r="F180" t="str">
        <f>INDEX(Products_T[SupplierName],MATCH(C180,Products_T[SKU],0))</f>
        <v>Quality Imports Ltd</v>
      </c>
      <c r="G180">
        <f t="shared" si="29"/>
        <v>132</v>
      </c>
      <c r="H180" s="3">
        <v>0</v>
      </c>
      <c r="I180" s="3">
        <v>78</v>
      </c>
      <c r="J180" s="3">
        <v>0</v>
      </c>
      <c r="K180" s="3">
        <v>0</v>
      </c>
      <c r="L180">
        <f t="shared" si="30"/>
        <v>54</v>
      </c>
      <c r="M180" s="10">
        <f>L180*INDEX(Products_T[UnitCost],MATCH(C180,Products_T[SKU],0))</f>
        <v>172800</v>
      </c>
      <c r="N180">
        <f>ROUND(INDEX(Products_T[AvgDailyUsage],MATCH(C180,Products_T[SKU],0))*(INDEX(Products_T[AvgLeadTime],MATCH(C180,Products_T[SKU],0))+INDEX(Products_T[LeadTimeRange],MATCH(C180,Products_T[SKU],0)))+INDEX(Products_T[SafetyStock],MATCH(C180,Products_T[SKU],0)),0)</f>
        <v>47</v>
      </c>
      <c r="O180" s="4">
        <f>IFERROR(L180/INDEX(Products_T[AvgDailyUsage],MATCH(C180,Products_T[SKU],0)),0)</f>
        <v>17.589576547231271</v>
      </c>
      <c r="P180" t="str">
        <f t="shared" si="31"/>
        <v>Healthy</v>
      </c>
      <c r="Q180" t="str">
        <f t="shared" si="32"/>
        <v>No</v>
      </c>
      <c r="R180">
        <f t="shared" si="33"/>
        <v>3</v>
      </c>
      <c r="S180" s="2">
        <f t="shared" si="34"/>
        <v>46203</v>
      </c>
      <c r="T180" s="12">
        <f>IFERROR(S180-_xlfn.MAXIFS(Transactions_T[Date],Transactions_T[SKU],C180,Transactions_T[Date],"&lt;="&amp;S180),"")</f>
        <v>9</v>
      </c>
    </row>
    <row r="181" spans="1:20" x14ac:dyDescent="0.25">
      <c r="A181" s="7">
        <v>46174</v>
      </c>
      <c r="B181" s="3" t="s">
        <v>34</v>
      </c>
      <c r="C181" s="3" t="s">
        <v>117</v>
      </c>
      <c r="D181" t="str">
        <f>INDEX(Products_T[ProductName],MATCH(C181,Products_T[SKU],0))</f>
        <v>Extension Socket 4-way</v>
      </c>
      <c r="E181" t="str">
        <f>INDEX(Products_T[Category],MATCH(C181,Products_T[SKU],0))</f>
        <v>Electronics Accessories</v>
      </c>
      <c r="F181" t="str">
        <f>INDEX(Products_T[SupplierName],MATCH(C181,Products_T[SKU],0))</f>
        <v>Quality Imports Ltd</v>
      </c>
      <c r="G181">
        <f t="shared" si="29"/>
        <v>28</v>
      </c>
      <c r="H181" s="3">
        <v>82</v>
      </c>
      <c r="I181" s="3">
        <v>62</v>
      </c>
      <c r="J181" s="3">
        <v>0</v>
      </c>
      <c r="K181" s="3">
        <v>0</v>
      </c>
      <c r="L181">
        <f t="shared" si="30"/>
        <v>48</v>
      </c>
      <c r="M181" s="10">
        <f>L181*INDEX(Products_T[UnitCost],MATCH(C181,Products_T[SKU],0))</f>
        <v>124800</v>
      </c>
      <c r="N181">
        <f>ROUND(INDEX(Products_T[AvgDailyUsage],MATCH(C181,Products_T[SKU],0))*(INDEX(Products_T[AvgLeadTime],MATCH(C181,Products_T[SKU],0))+INDEX(Products_T[LeadTimeRange],MATCH(C181,Products_T[SKU],0)))+INDEX(Products_T[SafetyStock],MATCH(C181,Products_T[SKU],0)),0)</f>
        <v>31</v>
      </c>
      <c r="O181" s="4">
        <f>IFERROR(L181/INDEX(Products_T[AvgDailyUsage],MATCH(C181,Products_T[SKU],0)),0)</f>
        <v>28.235294117647058</v>
      </c>
      <c r="P181" t="str">
        <f t="shared" si="31"/>
        <v>Healthy</v>
      </c>
      <c r="Q181" t="str">
        <f t="shared" si="32"/>
        <v>No</v>
      </c>
      <c r="R181">
        <f t="shared" si="33"/>
        <v>3</v>
      </c>
      <c r="S181" s="2">
        <f t="shared" si="34"/>
        <v>46203</v>
      </c>
      <c r="T181" s="12">
        <f>IFERROR(S181-_xlfn.MAXIFS(Transactions_T[Date],Transactions_T[SKU],C181,Transactions_T[Date],"&lt;="&amp;S181),"")</f>
        <v>9</v>
      </c>
    </row>
    <row r="183" spans="1:20" x14ac:dyDescent="0.25">
      <c r="A183" s="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3"/>
  <sheetViews>
    <sheetView topLeftCell="A313" zoomScaleNormal="100" workbookViewId="0"/>
  </sheetViews>
  <sheetFormatPr defaultColWidth="8.7109375" defaultRowHeight="15" x14ac:dyDescent="0.25"/>
  <cols>
    <col min="1" max="1" width="14" customWidth="1"/>
    <col min="2" max="2" width="12" customWidth="1"/>
    <col min="3" max="3" width="10" customWidth="1"/>
    <col min="4" max="4" width="26" customWidth="1"/>
    <col min="5" max="5" width="12" customWidth="1"/>
    <col min="6" max="6" width="10" customWidth="1"/>
    <col min="7" max="7" width="16" customWidth="1"/>
    <col min="8" max="8" width="22" customWidth="1"/>
  </cols>
  <sheetData>
    <row r="1" spans="1:8" ht="30" x14ac:dyDescent="0.25">
      <c r="A1" s="1" t="s">
        <v>139</v>
      </c>
      <c r="B1" s="1" t="s">
        <v>0</v>
      </c>
      <c r="C1" s="1" t="s">
        <v>35</v>
      </c>
      <c r="D1" s="1" t="s">
        <v>36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x14ac:dyDescent="0.25">
      <c r="A2" s="3" t="s">
        <v>144</v>
      </c>
      <c r="B2" s="13">
        <v>46025</v>
      </c>
      <c r="C2" s="3" t="s">
        <v>54</v>
      </c>
      <c r="D2" t="str">
        <f>INDEX(Products_T[ProductName],MATCH(C2,Products_T[SKU],0))</f>
        <v>Coca-Cola 1.5L</v>
      </c>
      <c r="E2" s="3" t="s">
        <v>145</v>
      </c>
      <c r="F2" s="3">
        <v>261</v>
      </c>
      <c r="G2" s="3">
        <v>363</v>
      </c>
      <c r="H2" s="3" t="s">
        <v>146</v>
      </c>
    </row>
    <row r="3" spans="1:8" x14ac:dyDescent="0.25">
      <c r="A3" s="3" t="s">
        <v>147</v>
      </c>
      <c r="B3" s="13">
        <v>46025</v>
      </c>
      <c r="C3" s="3" t="s">
        <v>89</v>
      </c>
      <c r="D3" t="str">
        <f>INDEX(Products_T[ProductName],MATCH(C3,Products_T[SKU],0))</f>
        <v>Nasco Cornflakes 500g</v>
      </c>
      <c r="E3" s="3" t="s">
        <v>145</v>
      </c>
      <c r="F3" s="3">
        <v>208</v>
      </c>
      <c r="G3" s="3">
        <v>323</v>
      </c>
      <c r="H3" s="3" t="s">
        <v>146</v>
      </c>
    </row>
    <row r="4" spans="1:8" x14ac:dyDescent="0.25">
      <c r="A4" s="3" t="s">
        <v>148</v>
      </c>
      <c r="B4" s="13">
        <v>46026</v>
      </c>
      <c r="C4" s="3" t="s">
        <v>63</v>
      </c>
      <c r="D4" t="str">
        <f>INDEX(Products_T[ProductName],MATCH(C4,Products_T[SKU],0))</f>
        <v>Malt Drink 33cl</v>
      </c>
      <c r="E4" s="3" t="s">
        <v>145</v>
      </c>
      <c r="F4" s="3">
        <v>255</v>
      </c>
      <c r="G4" s="3">
        <v>423</v>
      </c>
      <c r="H4" s="3" t="s">
        <v>146</v>
      </c>
    </row>
    <row r="5" spans="1:8" x14ac:dyDescent="0.25">
      <c r="A5" s="3" t="s">
        <v>149</v>
      </c>
      <c r="B5" s="13">
        <v>46026</v>
      </c>
      <c r="C5" s="3" t="s">
        <v>70</v>
      </c>
      <c r="D5" t="str">
        <f>INDEX(Products_T[ProductName],MATCH(C5,Products_T[SKU],0))</f>
        <v>Sunsilk Shampoo 200ml</v>
      </c>
      <c r="E5" s="3" t="s">
        <v>145</v>
      </c>
      <c r="F5" s="3">
        <v>217</v>
      </c>
      <c r="G5" s="3">
        <v>292</v>
      </c>
      <c r="H5" s="3" t="s">
        <v>146</v>
      </c>
    </row>
    <row r="6" spans="1:8" x14ac:dyDescent="0.25">
      <c r="A6" s="3" t="s">
        <v>150</v>
      </c>
      <c r="B6" s="13">
        <v>46026</v>
      </c>
      <c r="C6" s="3" t="s">
        <v>102</v>
      </c>
      <c r="D6" t="str">
        <f>INDEX(Products_T[ProductName],MATCH(C6,Products_T[SKU],0))</f>
        <v>Rubbermaid Storage Box</v>
      </c>
      <c r="E6" s="3" t="s">
        <v>145</v>
      </c>
      <c r="F6" s="3">
        <v>212</v>
      </c>
      <c r="G6" s="3">
        <v>439</v>
      </c>
      <c r="H6" s="3" t="s">
        <v>146</v>
      </c>
    </row>
    <row r="7" spans="1:8" x14ac:dyDescent="0.25">
      <c r="A7" s="3" t="s">
        <v>151</v>
      </c>
      <c r="B7" s="13">
        <v>46026</v>
      </c>
      <c r="C7" s="3" t="s">
        <v>117</v>
      </c>
      <c r="D7" t="str">
        <f>INDEX(Products_T[ProductName],MATCH(C7,Products_T[SKU],0))</f>
        <v>Extension Socket 4-way</v>
      </c>
      <c r="E7" s="3" t="s">
        <v>145</v>
      </c>
      <c r="F7" s="3">
        <v>60</v>
      </c>
      <c r="G7" s="3">
        <v>107</v>
      </c>
      <c r="H7" s="3" t="s">
        <v>146</v>
      </c>
    </row>
    <row r="8" spans="1:8" x14ac:dyDescent="0.25">
      <c r="A8" s="3" t="s">
        <v>152</v>
      </c>
      <c r="B8" s="13">
        <v>46027</v>
      </c>
      <c r="C8" s="3" t="s">
        <v>61</v>
      </c>
      <c r="D8" t="str">
        <f>INDEX(Products_T[ProductName],MATCH(C8,Products_T[SKU],0))</f>
        <v>Bottled Water 75cl</v>
      </c>
      <c r="E8" s="3" t="s">
        <v>145</v>
      </c>
      <c r="F8" s="3">
        <v>273</v>
      </c>
      <c r="G8" s="3">
        <v>569</v>
      </c>
      <c r="H8" s="3" t="s">
        <v>146</v>
      </c>
    </row>
    <row r="9" spans="1:8" x14ac:dyDescent="0.25">
      <c r="A9" s="3" t="s">
        <v>153</v>
      </c>
      <c r="B9" s="13">
        <v>46027</v>
      </c>
      <c r="C9" s="3" t="s">
        <v>85</v>
      </c>
      <c r="D9" t="str">
        <f>INDEX(Products_T[ProductName],MATCH(C9,Products_T[SKU],0))</f>
        <v>Kings Vegetable Oil 1L</v>
      </c>
      <c r="E9" s="3" t="s">
        <v>145</v>
      </c>
      <c r="F9" s="3">
        <v>78</v>
      </c>
      <c r="G9" s="3">
        <v>155</v>
      </c>
      <c r="H9" s="3" t="s">
        <v>146</v>
      </c>
    </row>
    <row r="10" spans="1:8" x14ac:dyDescent="0.25">
      <c r="A10" s="3" t="s">
        <v>154</v>
      </c>
      <c r="B10" s="13">
        <v>46028</v>
      </c>
      <c r="C10" s="3" t="s">
        <v>68</v>
      </c>
      <c r="D10" t="str">
        <f>INDEX(Products_T[ProductName],MATCH(C10,Products_T[SKU],0))</f>
        <v>Dettol Soap 100g</v>
      </c>
      <c r="E10" s="3" t="s">
        <v>145</v>
      </c>
      <c r="F10" s="3">
        <v>136</v>
      </c>
      <c r="G10" s="3">
        <v>260</v>
      </c>
      <c r="H10" s="3" t="s">
        <v>146</v>
      </c>
    </row>
    <row r="11" spans="1:8" x14ac:dyDescent="0.25">
      <c r="A11" s="3" t="s">
        <v>155</v>
      </c>
      <c r="B11" s="13">
        <v>46028</v>
      </c>
      <c r="C11" s="3" t="s">
        <v>87</v>
      </c>
      <c r="D11" t="str">
        <f>INDEX(Products_T[ProductName],MATCH(C11,Products_T[SKU],0))</f>
        <v>Titus Sardine Tin</v>
      </c>
      <c r="E11" s="3" t="s">
        <v>145</v>
      </c>
      <c r="F11" s="3">
        <v>120</v>
      </c>
      <c r="G11" s="3">
        <v>138</v>
      </c>
      <c r="H11" s="3" t="s">
        <v>146</v>
      </c>
    </row>
    <row r="12" spans="1:8" x14ac:dyDescent="0.25">
      <c r="A12" s="3" t="s">
        <v>156</v>
      </c>
      <c r="B12" s="13">
        <v>46028</v>
      </c>
      <c r="C12" s="3" t="s">
        <v>91</v>
      </c>
      <c r="D12" t="str">
        <f>INDEX(Products_T[ProductName],MATCH(C12,Products_T[SKU],0))</f>
        <v>Omo Detergent 900g</v>
      </c>
      <c r="E12" s="3" t="s">
        <v>145</v>
      </c>
      <c r="F12" s="3">
        <v>159</v>
      </c>
      <c r="G12" s="3">
        <v>292</v>
      </c>
      <c r="H12" s="3" t="s">
        <v>146</v>
      </c>
    </row>
    <row r="13" spans="1:8" x14ac:dyDescent="0.25">
      <c r="A13" s="3" t="s">
        <v>157</v>
      </c>
      <c r="B13" s="13">
        <v>46028</v>
      </c>
      <c r="C13" s="3" t="s">
        <v>104</v>
      </c>
      <c r="D13" t="str">
        <f>INDEX(Products_T[ProductName],MATCH(C13,Products_T[SKU],0))</f>
        <v>USB-C Charging Cable</v>
      </c>
      <c r="E13" s="3" t="s">
        <v>145</v>
      </c>
      <c r="F13" s="3">
        <v>63</v>
      </c>
      <c r="G13" s="3">
        <v>115</v>
      </c>
      <c r="H13" s="3" t="s">
        <v>146</v>
      </c>
    </row>
    <row r="14" spans="1:8" x14ac:dyDescent="0.25">
      <c r="A14" s="3" t="s">
        <v>158</v>
      </c>
      <c r="B14" s="13">
        <v>46029</v>
      </c>
      <c r="C14" s="3" t="s">
        <v>76</v>
      </c>
      <c r="D14" t="str">
        <f>INDEX(Products_T[ProductName],MATCH(C14,Products_T[SKU],0))</f>
        <v>Indomie Noodles Carton</v>
      </c>
      <c r="E14" s="3" t="s">
        <v>145</v>
      </c>
      <c r="F14" s="3">
        <v>264</v>
      </c>
      <c r="G14" s="3">
        <v>346</v>
      </c>
      <c r="H14" s="3" t="s">
        <v>146</v>
      </c>
    </row>
    <row r="15" spans="1:8" x14ac:dyDescent="0.25">
      <c r="A15" s="3" t="s">
        <v>159</v>
      </c>
      <c r="B15" s="13">
        <v>46029</v>
      </c>
      <c r="C15" s="3" t="s">
        <v>83</v>
      </c>
      <c r="D15" t="str">
        <f>INDEX(Products_T[ProductName],MATCH(C15,Products_T[SKU],0))</f>
        <v>Dangote Pasta 500g</v>
      </c>
      <c r="E15" s="3" t="s">
        <v>145</v>
      </c>
      <c r="F15" s="3">
        <v>188</v>
      </c>
      <c r="G15" s="3">
        <v>248</v>
      </c>
      <c r="H15" s="3" t="s">
        <v>146</v>
      </c>
    </row>
    <row r="16" spans="1:8" x14ac:dyDescent="0.25">
      <c r="A16" s="3" t="s">
        <v>160</v>
      </c>
      <c r="B16" s="13">
        <v>46030</v>
      </c>
      <c r="C16" s="3" t="s">
        <v>115</v>
      </c>
      <c r="D16" t="str">
        <f>INDEX(Products_T[ProductName],MATCH(C16,Products_T[SKU],0))</f>
        <v>Wireless Mouse</v>
      </c>
      <c r="E16" s="3" t="s">
        <v>145</v>
      </c>
      <c r="F16" s="3">
        <v>76</v>
      </c>
      <c r="G16" s="3">
        <v>81</v>
      </c>
      <c r="H16" s="3" t="s">
        <v>146</v>
      </c>
    </row>
    <row r="17" spans="1:8" x14ac:dyDescent="0.25">
      <c r="A17" s="3" t="s">
        <v>161</v>
      </c>
      <c r="B17" s="13">
        <v>46031</v>
      </c>
      <c r="C17" s="3" t="s">
        <v>79</v>
      </c>
      <c r="D17" t="str">
        <f>INDEX(Products_T[ProductName],MATCH(C17,Products_T[SKU],0))</f>
        <v>Golden Penny Semovita 1kg</v>
      </c>
      <c r="E17" s="3" t="s">
        <v>145</v>
      </c>
      <c r="F17" s="3">
        <v>233</v>
      </c>
      <c r="G17" s="3">
        <v>322</v>
      </c>
      <c r="H17" s="3" t="s">
        <v>146</v>
      </c>
    </row>
    <row r="18" spans="1:8" x14ac:dyDescent="0.25">
      <c r="A18" s="3" t="s">
        <v>162</v>
      </c>
      <c r="B18" s="13">
        <v>46032</v>
      </c>
      <c r="C18" s="3" t="s">
        <v>59</v>
      </c>
      <c r="D18" t="str">
        <f>INDEX(Products_T[ProductName],MATCH(C18,Products_T[SKU],0))</f>
        <v>Fanta 1.5L</v>
      </c>
      <c r="E18" s="3" t="s">
        <v>145</v>
      </c>
      <c r="F18" s="3">
        <v>416</v>
      </c>
      <c r="G18" s="3">
        <v>561</v>
      </c>
      <c r="H18" s="3" t="s">
        <v>146</v>
      </c>
    </row>
    <row r="19" spans="1:8" x14ac:dyDescent="0.25">
      <c r="A19" s="3" t="s">
        <v>163</v>
      </c>
      <c r="B19" s="13">
        <v>46032</v>
      </c>
      <c r="C19" s="3" t="s">
        <v>74</v>
      </c>
      <c r="D19" t="str">
        <f>INDEX(Products_T[ProductName],MATCH(C19,Products_T[SKU],0))</f>
        <v>Always Sanitary Pads</v>
      </c>
      <c r="E19" s="3" t="s">
        <v>145</v>
      </c>
      <c r="F19" s="3">
        <v>173</v>
      </c>
      <c r="G19" s="3">
        <v>195</v>
      </c>
      <c r="H19" s="3" t="s">
        <v>146</v>
      </c>
    </row>
    <row r="20" spans="1:8" x14ac:dyDescent="0.25">
      <c r="A20" s="3" t="s">
        <v>164</v>
      </c>
      <c r="B20" s="13">
        <v>46032</v>
      </c>
      <c r="C20" s="3" t="s">
        <v>81</v>
      </c>
      <c r="D20" t="str">
        <f>INDEX(Products_T[ProductName],MATCH(C20,Products_T[SKU],0))</f>
        <v>Peak Milk Tin 400g</v>
      </c>
      <c r="E20" s="3" t="s">
        <v>145</v>
      </c>
      <c r="F20" s="3">
        <v>280</v>
      </c>
      <c r="G20" s="3">
        <v>501</v>
      </c>
      <c r="H20" s="3" t="s">
        <v>146</v>
      </c>
    </row>
    <row r="21" spans="1:8" x14ac:dyDescent="0.25">
      <c r="A21" s="3" t="s">
        <v>165</v>
      </c>
      <c r="B21" s="13">
        <v>46032</v>
      </c>
      <c r="C21" s="3" t="s">
        <v>100</v>
      </c>
      <c r="D21" t="str">
        <f>INDEX(Products_T[ProductName],MATCH(C21,Products_T[SKU],0))</f>
        <v>Ambipur Air Freshener</v>
      </c>
      <c r="E21" s="3" t="s">
        <v>145</v>
      </c>
      <c r="F21" s="3">
        <v>138</v>
      </c>
      <c r="G21" s="3">
        <v>143</v>
      </c>
      <c r="H21" s="3" t="s">
        <v>146</v>
      </c>
    </row>
    <row r="22" spans="1:8" x14ac:dyDescent="0.25">
      <c r="A22" s="3" t="s">
        <v>166</v>
      </c>
      <c r="B22" s="13">
        <v>46032</v>
      </c>
      <c r="C22" s="3" t="s">
        <v>107</v>
      </c>
      <c r="D22" t="str">
        <f>INDEX(Products_T[ProductName],MATCH(C22,Products_T[SKU],0))</f>
        <v>Bluetooth Earbuds</v>
      </c>
      <c r="E22" s="3" t="s">
        <v>145</v>
      </c>
      <c r="F22" s="3">
        <v>87</v>
      </c>
      <c r="G22" s="3">
        <v>102</v>
      </c>
      <c r="H22" s="3" t="s">
        <v>146</v>
      </c>
    </row>
    <row r="23" spans="1:8" x14ac:dyDescent="0.25">
      <c r="A23" s="3" t="s">
        <v>167</v>
      </c>
      <c r="B23" s="13">
        <v>46032</v>
      </c>
      <c r="C23" s="3" t="s">
        <v>113</v>
      </c>
      <c r="D23" t="str">
        <f>INDEX(Products_T[ProductName],MATCH(C23,Products_T[SKU],0))</f>
        <v>Phone Screen Protector</v>
      </c>
      <c r="E23" s="3" t="s">
        <v>145</v>
      </c>
      <c r="F23" s="3">
        <v>60</v>
      </c>
      <c r="G23" s="3">
        <v>122</v>
      </c>
      <c r="H23" s="3" t="s">
        <v>146</v>
      </c>
    </row>
    <row r="24" spans="1:8" x14ac:dyDescent="0.25">
      <c r="A24" s="3" t="s">
        <v>168</v>
      </c>
      <c r="B24" s="13">
        <v>46033</v>
      </c>
      <c r="C24" s="3" t="s">
        <v>96</v>
      </c>
      <c r="D24" t="str">
        <f>INDEX(Products_T[ProductName],MATCH(C24,Products_T[SKU],0))</f>
        <v>Hypo Bleach 1L</v>
      </c>
      <c r="E24" s="3" t="s">
        <v>145</v>
      </c>
      <c r="F24" s="3">
        <v>202</v>
      </c>
      <c r="G24" s="3">
        <v>251</v>
      </c>
      <c r="H24" s="3" t="s">
        <v>146</v>
      </c>
    </row>
    <row r="25" spans="1:8" x14ac:dyDescent="0.25">
      <c r="A25" s="3" t="s">
        <v>169</v>
      </c>
      <c r="B25" s="13">
        <v>46034</v>
      </c>
      <c r="C25" s="3" t="s">
        <v>94</v>
      </c>
      <c r="D25" t="str">
        <f>INDEX(Products_T[ProductName],MATCH(C25,Products_T[SKU],0))</f>
        <v>Harpic Toilet Cleaner</v>
      </c>
      <c r="E25" s="3" t="s">
        <v>145</v>
      </c>
      <c r="F25" s="3">
        <v>122</v>
      </c>
      <c r="G25" s="3">
        <v>212</v>
      </c>
      <c r="H25" s="3" t="s">
        <v>146</v>
      </c>
    </row>
    <row r="26" spans="1:8" x14ac:dyDescent="0.25">
      <c r="A26" s="3" t="s">
        <v>170</v>
      </c>
      <c r="B26" s="13">
        <v>46034</v>
      </c>
      <c r="C26" s="3" t="s">
        <v>98</v>
      </c>
      <c r="D26" t="str">
        <f>INDEX(Products_T[ProductName],MATCH(C26,Products_T[SKU],0))</f>
        <v>Sunlight Dishwash Liquid</v>
      </c>
      <c r="E26" s="3" t="s">
        <v>145</v>
      </c>
      <c r="F26" s="3">
        <v>127</v>
      </c>
      <c r="G26" s="3">
        <v>232</v>
      </c>
      <c r="H26" s="3" t="s">
        <v>146</v>
      </c>
    </row>
    <row r="27" spans="1:8" x14ac:dyDescent="0.25">
      <c r="A27" s="3" t="s">
        <v>171</v>
      </c>
      <c r="B27" s="13">
        <v>46034</v>
      </c>
      <c r="C27" s="3" t="s">
        <v>109</v>
      </c>
      <c r="D27" t="str">
        <f>INDEX(Products_T[ProductName],MATCH(C27,Products_T[SKU],0))</f>
        <v>HDMI Cable 1.5m</v>
      </c>
      <c r="E27" s="3" t="s">
        <v>145</v>
      </c>
      <c r="F27" s="3">
        <v>95</v>
      </c>
      <c r="G27" s="3">
        <v>133</v>
      </c>
      <c r="H27" s="3" t="s">
        <v>146</v>
      </c>
    </row>
    <row r="28" spans="1:8" x14ac:dyDescent="0.25">
      <c r="A28" s="3" t="s">
        <v>172</v>
      </c>
      <c r="B28" s="13">
        <v>46036</v>
      </c>
      <c r="C28" s="3" t="s">
        <v>57</v>
      </c>
      <c r="D28" t="str">
        <f>INDEX(Products_T[ProductName],MATCH(C28,Products_T[SKU],0))</f>
        <v>Sprite 1.5L</v>
      </c>
      <c r="E28" s="3" t="s">
        <v>145</v>
      </c>
      <c r="F28" s="3">
        <v>276</v>
      </c>
      <c r="G28" s="3">
        <v>413</v>
      </c>
      <c r="H28" s="3" t="s">
        <v>146</v>
      </c>
    </row>
    <row r="29" spans="1:8" x14ac:dyDescent="0.25">
      <c r="A29" s="3" t="s">
        <v>173</v>
      </c>
      <c r="B29" s="13">
        <v>46036</v>
      </c>
      <c r="C29" s="3" t="s">
        <v>65</v>
      </c>
      <c r="D29" t="str">
        <f>INDEX(Products_T[ProductName],MATCH(C29,Products_T[SKU],0))</f>
        <v>Colgate Toothpaste 100ml</v>
      </c>
      <c r="E29" s="3" t="s">
        <v>145</v>
      </c>
      <c r="F29" s="3">
        <v>164</v>
      </c>
      <c r="G29" s="3">
        <v>296</v>
      </c>
      <c r="H29" s="3" t="s">
        <v>146</v>
      </c>
    </row>
    <row r="30" spans="1:8" x14ac:dyDescent="0.25">
      <c r="A30" s="3" t="s">
        <v>174</v>
      </c>
      <c r="B30" s="13">
        <v>46036</v>
      </c>
      <c r="C30" s="3" t="s">
        <v>72</v>
      </c>
      <c r="D30" t="str">
        <f>INDEX(Products_T[ProductName],MATCH(C30,Products_T[SKU],0))</f>
        <v>Vaseline Lotion 400ml</v>
      </c>
      <c r="E30" s="3" t="s">
        <v>145</v>
      </c>
      <c r="F30" s="3">
        <v>205</v>
      </c>
      <c r="G30" s="3">
        <v>312</v>
      </c>
      <c r="H30" s="3" t="s">
        <v>146</v>
      </c>
    </row>
    <row r="31" spans="1:8" x14ac:dyDescent="0.25">
      <c r="A31" s="3" t="s">
        <v>175</v>
      </c>
      <c r="B31" s="13">
        <v>46036</v>
      </c>
      <c r="C31" s="3" t="s">
        <v>111</v>
      </c>
      <c r="D31" t="str">
        <f>INDEX(Products_T[ProductName],MATCH(C31,Products_T[SKU],0))</f>
        <v>Power Bank 10000mAh</v>
      </c>
      <c r="E31" s="3" t="s">
        <v>145</v>
      </c>
      <c r="F31" s="3">
        <v>83</v>
      </c>
      <c r="G31" s="3">
        <v>130</v>
      </c>
      <c r="H31" s="3" t="s">
        <v>146</v>
      </c>
    </row>
    <row r="32" spans="1:8" x14ac:dyDescent="0.25">
      <c r="A32" s="3" t="s">
        <v>176</v>
      </c>
      <c r="B32" s="13">
        <v>46037</v>
      </c>
      <c r="C32" s="3" t="s">
        <v>85</v>
      </c>
      <c r="D32" t="str">
        <f>INDEX(Products_T[ProductName],MATCH(C32,Products_T[SKU],0))</f>
        <v>Kings Vegetable Oil 1L</v>
      </c>
      <c r="E32" s="3" t="s">
        <v>177</v>
      </c>
      <c r="F32" s="3">
        <v>106</v>
      </c>
      <c r="G32" s="3">
        <v>49</v>
      </c>
      <c r="H32" s="3" t="s">
        <v>178</v>
      </c>
    </row>
    <row r="33" spans="1:8" x14ac:dyDescent="0.25">
      <c r="A33" s="3" t="s">
        <v>179</v>
      </c>
      <c r="B33" s="13">
        <v>46037</v>
      </c>
      <c r="C33" s="3" t="s">
        <v>100</v>
      </c>
      <c r="D33" t="str">
        <f>INDEX(Products_T[ProductName],MATCH(C33,Products_T[SKU],0))</f>
        <v>Ambipur Air Freshener</v>
      </c>
      <c r="E33" s="3" t="s">
        <v>177</v>
      </c>
      <c r="F33" s="3">
        <v>143</v>
      </c>
      <c r="G33" s="3">
        <v>0</v>
      </c>
      <c r="H33" s="3" t="s">
        <v>178</v>
      </c>
    </row>
    <row r="34" spans="1:8" x14ac:dyDescent="0.25">
      <c r="A34" s="3" t="s">
        <v>180</v>
      </c>
      <c r="B34" s="13">
        <v>46037</v>
      </c>
      <c r="C34" s="3" t="s">
        <v>109</v>
      </c>
      <c r="D34" t="str">
        <f>INDEX(Products_T[ProductName],MATCH(C34,Products_T[SKU],0))</f>
        <v>HDMI Cable 1.5m</v>
      </c>
      <c r="E34" s="3" t="s">
        <v>177</v>
      </c>
      <c r="F34" s="3">
        <v>60</v>
      </c>
      <c r="G34" s="3">
        <v>73</v>
      </c>
      <c r="H34" s="3" t="s">
        <v>178</v>
      </c>
    </row>
    <row r="35" spans="1:8" x14ac:dyDescent="0.25">
      <c r="A35" s="3" t="s">
        <v>181</v>
      </c>
      <c r="B35" s="13">
        <v>46037</v>
      </c>
      <c r="C35" s="3" t="s">
        <v>117</v>
      </c>
      <c r="D35" t="str">
        <f>INDEX(Products_T[ProductName],MATCH(C35,Products_T[SKU],0))</f>
        <v>Extension Socket 4-way</v>
      </c>
      <c r="E35" s="3" t="s">
        <v>177</v>
      </c>
      <c r="F35" s="3">
        <v>46</v>
      </c>
      <c r="G35" s="3">
        <v>61</v>
      </c>
      <c r="H35" s="3" t="s">
        <v>178</v>
      </c>
    </row>
    <row r="36" spans="1:8" x14ac:dyDescent="0.25">
      <c r="A36" s="3" t="s">
        <v>182</v>
      </c>
      <c r="B36" s="13">
        <v>46038</v>
      </c>
      <c r="C36" s="3" t="s">
        <v>98</v>
      </c>
      <c r="D36" t="str">
        <f>INDEX(Products_T[ProductName],MATCH(C36,Products_T[SKU],0))</f>
        <v>Sunlight Dishwash Liquid</v>
      </c>
      <c r="E36" s="3" t="s">
        <v>177</v>
      </c>
      <c r="F36" s="3">
        <v>100</v>
      </c>
      <c r="G36" s="3">
        <v>132</v>
      </c>
      <c r="H36" s="3" t="s">
        <v>178</v>
      </c>
    </row>
    <row r="37" spans="1:8" x14ac:dyDescent="0.25">
      <c r="A37" s="3" t="s">
        <v>183</v>
      </c>
      <c r="B37" s="13">
        <v>46039</v>
      </c>
      <c r="C37" s="3" t="s">
        <v>65</v>
      </c>
      <c r="D37" t="str">
        <f>INDEX(Products_T[ProductName],MATCH(C37,Products_T[SKU],0))</f>
        <v>Colgate Toothpaste 100ml</v>
      </c>
      <c r="E37" s="3" t="s">
        <v>177</v>
      </c>
      <c r="F37" s="3">
        <v>106</v>
      </c>
      <c r="G37" s="3">
        <v>190</v>
      </c>
      <c r="H37" s="3" t="s">
        <v>178</v>
      </c>
    </row>
    <row r="38" spans="1:8" x14ac:dyDescent="0.25">
      <c r="A38" s="3" t="s">
        <v>184</v>
      </c>
      <c r="B38" s="13">
        <v>46039</v>
      </c>
      <c r="C38" s="3" t="s">
        <v>72</v>
      </c>
      <c r="D38" t="str">
        <f>INDEX(Products_T[ProductName],MATCH(C38,Products_T[SKU],0))</f>
        <v>Vaseline Lotion 400ml</v>
      </c>
      <c r="E38" s="3" t="s">
        <v>177</v>
      </c>
      <c r="F38" s="3">
        <v>288</v>
      </c>
      <c r="G38" s="3">
        <v>24</v>
      </c>
      <c r="H38" s="3" t="s">
        <v>178</v>
      </c>
    </row>
    <row r="39" spans="1:8" x14ac:dyDescent="0.25">
      <c r="A39" s="3" t="s">
        <v>185</v>
      </c>
      <c r="B39" s="13">
        <v>46039</v>
      </c>
      <c r="C39" s="3" t="s">
        <v>102</v>
      </c>
      <c r="D39" t="str">
        <f>INDEX(Products_T[ProductName],MATCH(C39,Products_T[SKU],0))</f>
        <v>Rubbermaid Storage Box</v>
      </c>
      <c r="E39" s="3" t="s">
        <v>177</v>
      </c>
      <c r="F39" s="3">
        <v>158</v>
      </c>
      <c r="G39" s="3">
        <v>281</v>
      </c>
      <c r="H39" s="3" t="s">
        <v>178</v>
      </c>
    </row>
    <row r="40" spans="1:8" x14ac:dyDescent="0.25">
      <c r="A40" s="3" t="s">
        <v>186</v>
      </c>
      <c r="B40" s="13">
        <v>46040</v>
      </c>
      <c r="C40" s="3" t="s">
        <v>79</v>
      </c>
      <c r="D40" t="str">
        <f>INDEX(Products_T[ProductName],MATCH(C40,Products_T[SKU],0))</f>
        <v>Golden Penny Semovita 1kg</v>
      </c>
      <c r="E40" s="3" t="s">
        <v>177</v>
      </c>
      <c r="F40" s="3">
        <v>191</v>
      </c>
      <c r="G40" s="3">
        <v>131</v>
      </c>
      <c r="H40" s="3" t="s">
        <v>178</v>
      </c>
    </row>
    <row r="41" spans="1:8" x14ac:dyDescent="0.25">
      <c r="A41" s="3" t="s">
        <v>187</v>
      </c>
      <c r="B41" s="13">
        <v>46041</v>
      </c>
      <c r="C41" s="3" t="s">
        <v>96</v>
      </c>
      <c r="D41" t="str">
        <f>INDEX(Products_T[ProductName],MATCH(C41,Products_T[SKU],0))</f>
        <v>Hypo Bleach 1L</v>
      </c>
      <c r="E41" s="3" t="s">
        <v>177</v>
      </c>
      <c r="F41" s="3">
        <v>132</v>
      </c>
      <c r="G41" s="3">
        <v>119</v>
      </c>
      <c r="H41" s="3" t="s">
        <v>178</v>
      </c>
    </row>
    <row r="42" spans="1:8" x14ac:dyDescent="0.25">
      <c r="A42" s="3" t="s">
        <v>188</v>
      </c>
      <c r="B42" s="13">
        <v>46042</v>
      </c>
      <c r="C42" s="3" t="s">
        <v>59</v>
      </c>
      <c r="D42" t="str">
        <f>INDEX(Products_T[ProductName],MATCH(C42,Products_T[SKU],0))</f>
        <v>Fanta 1.5L</v>
      </c>
      <c r="E42" s="3" t="s">
        <v>177</v>
      </c>
      <c r="F42" s="3">
        <v>314</v>
      </c>
      <c r="G42" s="3">
        <v>247</v>
      </c>
      <c r="H42" s="3" t="s">
        <v>178</v>
      </c>
    </row>
    <row r="43" spans="1:8" x14ac:dyDescent="0.25">
      <c r="A43" s="3" t="s">
        <v>189</v>
      </c>
      <c r="B43" s="13">
        <v>46043</v>
      </c>
      <c r="C43" s="3" t="s">
        <v>61</v>
      </c>
      <c r="D43" t="str">
        <f>INDEX(Products_T[ProductName],MATCH(C43,Products_T[SKU],0))</f>
        <v>Bottled Water 75cl</v>
      </c>
      <c r="E43" s="3" t="s">
        <v>177</v>
      </c>
      <c r="F43" s="3">
        <v>188</v>
      </c>
      <c r="G43" s="3">
        <v>381</v>
      </c>
      <c r="H43" s="3" t="s">
        <v>178</v>
      </c>
    </row>
    <row r="44" spans="1:8" x14ac:dyDescent="0.25">
      <c r="A44" s="3" t="s">
        <v>190</v>
      </c>
      <c r="B44" s="13">
        <v>46043</v>
      </c>
      <c r="C44" s="3" t="s">
        <v>70</v>
      </c>
      <c r="D44" t="str">
        <f>INDEX(Products_T[ProductName],MATCH(C44,Products_T[SKU],0))</f>
        <v>Sunsilk Shampoo 200ml</v>
      </c>
      <c r="E44" s="3" t="s">
        <v>177</v>
      </c>
      <c r="F44" s="3">
        <v>276</v>
      </c>
      <c r="G44" s="3">
        <v>16</v>
      </c>
      <c r="H44" s="3" t="s">
        <v>178</v>
      </c>
    </row>
    <row r="45" spans="1:8" x14ac:dyDescent="0.25">
      <c r="A45" s="3" t="s">
        <v>191</v>
      </c>
      <c r="B45" s="13">
        <v>46043</v>
      </c>
      <c r="C45" s="3" t="s">
        <v>104</v>
      </c>
      <c r="D45" t="str">
        <f>INDEX(Products_T[ProductName],MATCH(C45,Products_T[SKU],0))</f>
        <v>USB-C Charging Cable</v>
      </c>
      <c r="E45" s="3" t="s">
        <v>177</v>
      </c>
      <c r="F45" s="3">
        <v>90</v>
      </c>
      <c r="G45" s="3">
        <v>25</v>
      </c>
      <c r="H45" s="3" t="s">
        <v>178</v>
      </c>
    </row>
    <row r="46" spans="1:8" x14ac:dyDescent="0.25">
      <c r="A46" s="3" t="s">
        <v>192</v>
      </c>
      <c r="B46" s="13">
        <v>46043</v>
      </c>
      <c r="C46" s="3" t="s">
        <v>111</v>
      </c>
      <c r="D46" t="str">
        <f>INDEX(Products_T[ProductName],MATCH(C46,Products_T[SKU],0))</f>
        <v>Power Bank 10000mAh</v>
      </c>
      <c r="E46" s="3" t="s">
        <v>177</v>
      </c>
      <c r="F46" s="3">
        <v>51</v>
      </c>
      <c r="G46" s="3">
        <v>79</v>
      </c>
      <c r="H46" s="3" t="s">
        <v>178</v>
      </c>
    </row>
    <row r="47" spans="1:8" x14ac:dyDescent="0.25">
      <c r="A47" s="3" t="s">
        <v>193</v>
      </c>
      <c r="B47" s="13">
        <v>46044</v>
      </c>
      <c r="C47" s="3" t="s">
        <v>57</v>
      </c>
      <c r="D47" t="str">
        <f>INDEX(Products_T[ProductName],MATCH(C47,Products_T[SKU],0))</f>
        <v>Sprite 1.5L</v>
      </c>
      <c r="E47" s="3" t="s">
        <v>177</v>
      </c>
      <c r="F47" s="3">
        <v>373</v>
      </c>
      <c r="G47" s="3">
        <v>40</v>
      </c>
      <c r="H47" s="3" t="s">
        <v>178</v>
      </c>
    </row>
    <row r="48" spans="1:8" x14ac:dyDescent="0.25">
      <c r="A48" s="3" t="s">
        <v>194</v>
      </c>
      <c r="B48" s="13">
        <v>46044</v>
      </c>
      <c r="C48" s="3" t="s">
        <v>83</v>
      </c>
      <c r="D48" t="str">
        <f>INDEX(Products_T[ProductName],MATCH(C48,Products_T[SKU],0))</f>
        <v>Dangote Pasta 500g</v>
      </c>
      <c r="E48" s="3" t="s">
        <v>177</v>
      </c>
      <c r="F48" s="3">
        <v>224</v>
      </c>
      <c r="G48" s="3">
        <v>24</v>
      </c>
      <c r="H48" s="3" t="s">
        <v>178</v>
      </c>
    </row>
    <row r="49" spans="1:8" x14ac:dyDescent="0.25">
      <c r="A49" s="3" t="s">
        <v>195</v>
      </c>
      <c r="B49" s="13">
        <v>46044</v>
      </c>
      <c r="C49" s="3" t="s">
        <v>91</v>
      </c>
      <c r="D49" t="str">
        <f>INDEX(Products_T[ProductName],MATCH(C49,Products_T[SKU],0))</f>
        <v>Omo Detergent 900g</v>
      </c>
      <c r="E49" s="3" t="s">
        <v>177</v>
      </c>
      <c r="F49" s="3">
        <v>210</v>
      </c>
      <c r="G49" s="3">
        <v>82</v>
      </c>
      <c r="H49" s="3" t="s">
        <v>178</v>
      </c>
    </row>
    <row r="50" spans="1:8" x14ac:dyDescent="0.25">
      <c r="A50" s="3" t="s">
        <v>196</v>
      </c>
      <c r="B50" s="13">
        <v>46044</v>
      </c>
      <c r="C50" s="3" t="s">
        <v>107</v>
      </c>
      <c r="D50" t="str">
        <f>INDEX(Products_T[ProductName],MATCH(C50,Products_T[SKU],0))</f>
        <v>Bluetooth Earbuds</v>
      </c>
      <c r="E50" s="3" t="s">
        <v>177</v>
      </c>
      <c r="F50" s="3">
        <v>56</v>
      </c>
      <c r="G50" s="3">
        <v>46</v>
      </c>
      <c r="H50" s="3" t="s">
        <v>178</v>
      </c>
    </row>
    <row r="51" spans="1:8" x14ac:dyDescent="0.25">
      <c r="A51" s="3" t="s">
        <v>197</v>
      </c>
      <c r="B51" s="13">
        <v>46045</v>
      </c>
      <c r="C51" s="3" t="s">
        <v>54</v>
      </c>
      <c r="D51" t="str">
        <f>INDEX(Products_T[ProductName],MATCH(C51,Products_T[SKU],0))</f>
        <v>Coca-Cola 1.5L</v>
      </c>
      <c r="E51" s="3" t="s">
        <v>177</v>
      </c>
      <c r="F51" s="3">
        <v>180</v>
      </c>
      <c r="G51" s="3">
        <v>183</v>
      </c>
      <c r="H51" s="3" t="s">
        <v>178</v>
      </c>
    </row>
    <row r="52" spans="1:8" x14ac:dyDescent="0.25">
      <c r="A52" s="3" t="s">
        <v>198</v>
      </c>
      <c r="B52" s="13">
        <v>46045</v>
      </c>
      <c r="C52" s="3" t="s">
        <v>76</v>
      </c>
      <c r="D52" t="str">
        <f>INDEX(Products_T[ProductName],MATCH(C52,Products_T[SKU],0))</f>
        <v>Indomie Noodles Carton</v>
      </c>
      <c r="E52" s="3" t="s">
        <v>177</v>
      </c>
      <c r="F52" s="3">
        <v>209</v>
      </c>
      <c r="G52" s="3">
        <v>137</v>
      </c>
      <c r="H52" s="3" t="s">
        <v>178</v>
      </c>
    </row>
    <row r="53" spans="1:8" x14ac:dyDescent="0.25">
      <c r="A53" s="3" t="s">
        <v>199</v>
      </c>
      <c r="B53" s="13">
        <v>46045</v>
      </c>
      <c r="C53" s="3" t="s">
        <v>87</v>
      </c>
      <c r="D53" t="str">
        <f>INDEX(Products_T[ProductName],MATCH(C53,Products_T[SKU],0))</f>
        <v>Titus Sardine Tin</v>
      </c>
      <c r="E53" s="3" t="s">
        <v>177</v>
      </c>
      <c r="F53" s="3">
        <v>138</v>
      </c>
      <c r="G53" s="3">
        <v>0</v>
      </c>
      <c r="H53" s="3" t="s">
        <v>178</v>
      </c>
    </row>
    <row r="54" spans="1:8" x14ac:dyDescent="0.25">
      <c r="A54" s="3" t="s">
        <v>200</v>
      </c>
      <c r="B54" s="13">
        <v>46045</v>
      </c>
      <c r="C54" s="3" t="s">
        <v>115</v>
      </c>
      <c r="D54" t="str">
        <f>INDEX(Products_T[ProductName],MATCH(C54,Products_T[SKU],0))</f>
        <v>Wireless Mouse</v>
      </c>
      <c r="E54" s="3" t="s">
        <v>177</v>
      </c>
      <c r="F54" s="3">
        <v>81</v>
      </c>
      <c r="G54" s="3">
        <v>0</v>
      </c>
      <c r="H54" s="3" t="s">
        <v>178</v>
      </c>
    </row>
    <row r="55" spans="1:8" x14ac:dyDescent="0.25">
      <c r="A55" s="3" t="s">
        <v>201</v>
      </c>
      <c r="B55" s="13">
        <v>46046</v>
      </c>
      <c r="C55" s="3" t="s">
        <v>74</v>
      </c>
      <c r="D55" t="str">
        <f>INDEX(Products_T[ProductName],MATCH(C55,Products_T[SKU],0))</f>
        <v>Always Sanitary Pads</v>
      </c>
      <c r="E55" s="3" t="s">
        <v>177</v>
      </c>
      <c r="F55" s="3">
        <v>145</v>
      </c>
      <c r="G55" s="3">
        <v>50</v>
      </c>
      <c r="H55" s="3" t="s">
        <v>178</v>
      </c>
    </row>
    <row r="56" spans="1:8" x14ac:dyDescent="0.25">
      <c r="A56" s="3" t="s">
        <v>202</v>
      </c>
      <c r="B56" s="13">
        <v>46046</v>
      </c>
      <c r="C56" s="3" t="s">
        <v>94</v>
      </c>
      <c r="D56" t="str">
        <f>INDEX(Products_T[ProductName],MATCH(C56,Products_T[SKU],0))</f>
        <v>Harpic Toilet Cleaner</v>
      </c>
      <c r="E56" s="3" t="s">
        <v>177</v>
      </c>
      <c r="F56" s="3">
        <v>194</v>
      </c>
      <c r="G56" s="3">
        <v>18</v>
      </c>
      <c r="H56" s="3" t="s">
        <v>178</v>
      </c>
    </row>
    <row r="57" spans="1:8" x14ac:dyDescent="0.25">
      <c r="A57" s="3" t="s">
        <v>203</v>
      </c>
      <c r="B57" s="13">
        <v>46048</v>
      </c>
      <c r="C57" s="3" t="s">
        <v>81</v>
      </c>
      <c r="D57" t="str">
        <f>INDEX(Products_T[ProductName],MATCH(C57,Products_T[SKU],0))</f>
        <v>Peak Milk Tin 400g</v>
      </c>
      <c r="E57" s="3" t="s">
        <v>177</v>
      </c>
      <c r="F57" s="3">
        <v>167</v>
      </c>
      <c r="G57" s="3">
        <v>334</v>
      </c>
      <c r="H57" s="3" t="s">
        <v>178</v>
      </c>
    </row>
    <row r="58" spans="1:8" x14ac:dyDescent="0.25">
      <c r="A58" s="3" t="s">
        <v>204</v>
      </c>
      <c r="B58" s="13">
        <v>46048</v>
      </c>
      <c r="C58" s="3" t="s">
        <v>113</v>
      </c>
      <c r="D58" t="str">
        <f>INDEX(Products_T[ProductName],MATCH(C58,Products_T[SKU],0))</f>
        <v>Phone Screen Protector</v>
      </c>
      <c r="E58" s="3" t="s">
        <v>177</v>
      </c>
      <c r="F58" s="3">
        <v>48</v>
      </c>
      <c r="G58" s="3">
        <v>74</v>
      </c>
      <c r="H58" s="3" t="s">
        <v>178</v>
      </c>
    </row>
    <row r="59" spans="1:8" x14ac:dyDescent="0.25">
      <c r="A59" s="3" t="s">
        <v>205</v>
      </c>
      <c r="B59" s="13">
        <v>46050</v>
      </c>
      <c r="C59" s="3" t="s">
        <v>63</v>
      </c>
      <c r="D59" t="str">
        <f>INDEX(Products_T[ProductName],MATCH(C59,Products_T[SKU],0))</f>
        <v>Malt Drink 33cl</v>
      </c>
      <c r="E59" s="3" t="s">
        <v>177</v>
      </c>
      <c r="F59" s="3">
        <v>371</v>
      </c>
      <c r="G59" s="3">
        <v>52</v>
      </c>
      <c r="H59" s="3" t="s">
        <v>178</v>
      </c>
    </row>
    <row r="60" spans="1:8" x14ac:dyDescent="0.25">
      <c r="A60" s="3" t="s">
        <v>206</v>
      </c>
      <c r="B60" s="13">
        <v>46050</v>
      </c>
      <c r="C60" s="3" t="s">
        <v>68</v>
      </c>
      <c r="D60" t="str">
        <f>INDEX(Products_T[ProductName],MATCH(C60,Products_T[SKU],0))</f>
        <v>Dettol Soap 100g</v>
      </c>
      <c r="E60" s="3" t="s">
        <v>177</v>
      </c>
      <c r="F60" s="3">
        <v>193</v>
      </c>
      <c r="G60" s="3">
        <v>67</v>
      </c>
      <c r="H60" s="3" t="s">
        <v>178</v>
      </c>
    </row>
    <row r="61" spans="1:8" x14ac:dyDescent="0.25">
      <c r="A61" s="3" t="s">
        <v>207</v>
      </c>
      <c r="B61" s="13">
        <v>46050</v>
      </c>
      <c r="C61" s="3" t="s">
        <v>89</v>
      </c>
      <c r="D61" t="str">
        <f>INDEX(Products_T[ProductName],MATCH(C61,Products_T[SKU],0))</f>
        <v>Nasco Cornflakes 500g</v>
      </c>
      <c r="E61" s="3" t="s">
        <v>177</v>
      </c>
      <c r="F61" s="3">
        <v>148</v>
      </c>
      <c r="G61" s="3">
        <v>175</v>
      </c>
      <c r="H61" s="3" t="s">
        <v>178</v>
      </c>
    </row>
    <row r="62" spans="1:8" x14ac:dyDescent="0.25">
      <c r="A62" s="3" t="s">
        <v>208</v>
      </c>
      <c r="B62" s="13">
        <v>46056</v>
      </c>
      <c r="C62" s="3" t="s">
        <v>87</v>
      </c>
      <c r="D62" t="str">
        <f>INDEX(Products_T[ProductName],MATCH(C62,Products_T[SKU],0))</f>
        <v>Titus Sardine Tin</v>
      </c>
      <c r="E62" s="3" t="s">
        <v>145</v>
      </c>
      <c r="F62" s="3">
        <v>181</v>
      </c>
      <c r="G62" s="3">
        <v>181</v>
      </c>
      <c r="H62" s="3" t="s">
        <v>146</v>
      </c>
    </row>
    <row r="63" spans="1:8" x14ac:dyDescent="0.25">
      <c r="A63" s="3" t="s">
        <v>209</v>
      </c>
      <c r="B63" s="13">
        <v>46056</v>
      </c>
      <c r="C63" s="3" t="s">
        <v>109</v>
      </c>
      <c r="D63" t="str">
        <f>INDEX(Products_T[ProductName],MATCH(C63,Products_T[SKU],0))</f>
        <v>HDMI Cable 1.5m</v>
      </c>
      <c r="E63" s="3" t="s">
        <v>145</v>
      </c>
      <c r="F63" s="3">
        <v>74</v>
      </c>
      <c r="G63" s="3">
        <v>147</v>
      </c>
      <c r="H63" s="3" t="s">
        <v>146</v>
      </c>
    </row>
    <row r="64" spans="1:8" x14ac:dyDescent="0.25">
      <c r="A64" s="3" t="s">
        <v>210</v>
      </c>
      <c r="B64" s="13">
        <v>46057</v>
      </c>
      <c r="C64" s="3" t="s">
        <v>85</v>
      </c>
      <c r="D64" t="str">
        <f>INDEX(Products_T[ProductName],MATCH(C64,Products_T[SKU],0))</f>
        <v>Kings Vegetable Oil 1L</v>
      </c>
      <c r="E64" s="3" t="s">
        <v>145</v>
      </c>
      <c r="F64" s="3">
        <v>82</v>
      </c>
      <c r="G64" s="3">
        <v>131</v>
      </c>
      <c r="H64" s="3" t="s">
        <v>146</v>
      </c>
    </row>
    <row r="65" spans="1:8" x14ac:dyDescent="0.25">
      <c r="A65" s="3" t="s">
        <v>211</v>
      </c>
      <c r="B65" s="13">
        <v>46058</v>
      </c>
      <c r="C65" s="3" t="s">
        <v>54</v>
      </c>
      <c r="D65" t="str">
        <f>INDEX(Products_T[ProductName],MATCH(C65,Products_T[SKU],0))</f>
        <v>Coca-Cola 1.5L</v>
      </c>
      <c r="E65" s="3" t="s">
        <v>145</v>
      </c>
      <c r="F65" s="3">
        <v>260</v>
      </c>
      <c r="G65" s="3">
        <v>443</v>
      </c>
      <c r="H65" s="3" t="s">
        <v>146</v>
      </c>
    </row>
    <row r="66" spans="1:8" x14ac:dyDescent="0.25">
      <c r="A66" s="3" t="s">
        <v>212</v>
      </c>
      <c r="B66" s="13">
        <v>46058</v>
      </c>
      <c r="C66" s="3" t="s">
        <v>59</v>
      </c>
      <c r="D66" t="str">
        <f>INDEX(Products_T[ProductName],MATCH(C66,Products_T[SKU],0))</f>
        <v>Fanta 1.5L</v>
      </c>
      <c r="E66" s="3" t="s">
        <v>145</v>
      </c>
      <c r="F66" s="3">
        <v>284</v>
      </c>
      <c r="G66" s="3">
        <v>531</v>
      </c>
      <c r="H66" s="3" t="s">
        <v>146</v>
      </c>
    </row>
    <row r="67" spans="1:8" x14ac:dyDescent="0.25">
      <c r="A67" s="3" t="s">
        <v>213</v>
      </c>
      <c r="B67" s="13">
        <v>46058</v>
      </c>
      <c r="C67" s="3" t="s">
        <v>94</v>
      </c>
      <c r="D67" t="str">
        <f>INDEX(Products_T[ProductName],MATCH(C67,Products_T[SKU],0))</f>
        <v>Harpic Toilet Cleaner</v>
      </c>
      <c r="E67" s="3" t="s">
        <v>145</v>
      </c>
      <c r="F67" s="3">
        <v>135</v>
      </c>
      <c r="G67" s="3">
        <v>153</v>
      </c>
      <c r="H67" s="3" t="s">
        <v>146</v>
      </c>
    </row>
    <row r="68" spans="1:8" x14ac:dyDescent="0.25">
      <c r="A68" s="3" t="s">
        <v>214</v>
      </c>
      <c r="B68" s="13">
        <v>46059</v>
      </c>
      <c r="C68" s="3" t="s">
        <v>63</v>
      </c>
      <c r="D68" t="str">
        <f>INDEX(Products_T[ProductName],MATCH(C68,Products_T[SKU],0))</f>
        <v>Malt Drink 33cl</v>
      </c>
      <c r="E68" s="3" t="s">
        <v>145</v>
      </c>
      <c r="F68" s="3">
        <v>238</v>
      </c>
      <c r="G68" s="3">
        <v>290</v>
      </c>
      <c r="H68" s="3" t="s">
        <v>146</v>
      </c>
    </row>
    <row r="69" spans="1:8" x14ac:dyDescent="0.25">
      <c r="A69" s="3" t="s">
        <v>215</v>
      </c>
      <c r="B69" s="13">
        <v>46059</v>
      </c>
      <c r="C69" s="3" t="s">
        <v>76</v>
      </c>
      <c r="D69" t="str">
        <f>INDEX(Products_T[ProductName],MATCH(C69,Products_T[SKU],0))</f>
        <v>Indomie Noodles Carton</v>
      </c>
      <c r="E69" s="3" t="s">
        <v>145</v>
      </c>
      <c r="F69" s="3">
        <v>209</v>
      </c>
      <c r="G69" s="3">
        <v>346</v>
      </c>
      <c r="H69" s="3" t="s">
        <v>146</v>
      </c>
    </row>
    <row r="70" spans="1:8" x14ac:dyDescent="0.25">
      <c r="A70" s="3" t="s">
        <v>216</v>
      </c>
      <c r="B70" s="13">
        <v>46059</v>
      </c>
      <c r="C70" s="3" t="s">
        <v>107</v>
      </c>
      <c r="D70" t="str">
        <f>INDEX(Products_T[ProductName],MATCH(C70,Products_T[SKU],0))</f>
        <v>Bluetooth Earbuds</v>
      </c>
      <c r="E70" s="3" t="s">
        <v>145</v>
      </c>
      <c r="F70" s="3">
        <v>55</v>
      </c>
      <c r="G70" s="3">
        <v>101</v>
      </c>
      <c r="H70" s="3" t="s">
        <v>146</v>
      </c>
    </row>
    <row r="71" spans="1:8" x14ac:dyDescent="0.25">
      <c r="A71" s="3" t="s">
        <v>217</v>
      </c>
      <c r="B71" s="13">
        <v>46059</v>
      </c>
      <c r="C71" s="3" t="s">
        <v>117</v>
      </c>
      <c r="D71" t="str">
        <f>INDEX(Products_T[ProductName],MATCH(C71,Products_T[SKU],0))</f>
        <v>Extension Socket 4-way</v>
      </c>
      <c r="E71" s="3" t="s">
        <v>145</v>
      </c>
      <c r="F71" s="3">
        <v>57</v>
      </c>
      <c r="G71" s="3">
        <v>118</v>
      </c>
      <c r="H71" s="3" t="s">
        <v>146</v>
      </c>
    </row>
    <row r="72" spans="1:8" x14ac:dyDescent="0.25">
      <c r="A72" s="3" t="s">
        <v>218</v>
      </c>
      <c r="B72" s="13">
        <v>46060</v>
      </c>
      <c r="C72" s="3" t="s">
        <v>57</v>
      </c>
      <c r="D72" t="str">
        <f>INDEX(Products_T[ProductName],MATCH(C72,Products_T[SKU],0))</f>
        <v>Sprite 1.5L</v>
      </c>
      <c r="E72" s="3" t="s">
        <v>145</v>
      </c>
      <c r="F72" s="3">
        <v>351</v>
      </c>
      <c r="G72" s="3">
        <v>391</v>
      </c>
      <c r="H72" s="3" t="s">
        <v>146</v>
      </c>
    </row>
    <row r="73" spans="1:8" x14ac:dyDescent="0.25">
      <c r="A73" s="3" t="s">
        <v>219</v>
      </c>
      <c r="B73" s="13">
        <v>46060</v>
      </c>
      <c r="C73" s="3" t="s">
        <v>91</v>
      </c>
      <c r="D73" t="str">
        <f>INDEX(Products_T[ProductName],MATCH(C73,Products_T[SKU],0))</f>
        <v>Omo Detergent 900g</v>
      </c>
      <c r="E73" s="3" t="s">
        <v>145</v>
      </c>
      <c r="F73" s="3">
        <v>214</v>
      </c>
      <c r="G73" s="3">
        <v>296</v>
      </c>
      <c r="H73" s="3" t="s">
        <v>146</v>
      </c>
    </row>
    <row r="74" spans="1:8" x14ac:dyDescent="0.25">
      <c r="A74" s="3" t="s">
        <v>220</v>
      </c>
      <c r="B74" s="13">
        <v>46060</v>
      </c>
      <c r="C74" s="3" t="s">
        <v>104</v>
      </c>
      <c r="D74" t="str">
        <f>INDEX(Products_T[ProductName],MATCH(C74,Products_T[SKU],0))</f>
        <v>USB-C Charging Cable</v>
      </c>
      <c r="E74" s="3" t="s">
        <v>145</v>
      </c>
      <c r="F74" s="3">
        <v>93</v>
      </c>
      <c r="G74" s="3">
        <v>118</v>
      </c>
      <c r="H74" s="3" t="s">
        <v>146</v>
      </c>
    </row>
    <row r="75" spans="1:8" x14ac:dyDescent="0.25">
      <c r="A75" s="3" t="s">
        <v>221</v>
      </c>
      <c r="B75" s="13">
        <v>46061</v>
      </c>
      <c r="C75" s="3" t="s">
        <v>79</v>
      </c>
      <c r="D75" t="str">
        <f>INDEX(Products_T[ProductName],MATCH(C75,Products_T[SKU],0))</f>
        <v>Golden Penny Semovita 1kg</v>
      </c>
      <c r="E75" s="3" t="s">
        <v>145</v>
      </c>
      <c r="F75" s="3">
        <v>174</v>
      </c>
      <c r="G75" s="3">
        <v>305</v>
      </c>
      <c r="H75" s="3" t="s">
        <v>146</v>
      </c>
    </row>
    <row r="76" spans="1:8" x14ac:dyDescent="0.25">
      <c r="A76" s="3" t="s">
        <v>222</v>
      </c>
      <c r="B76" s="13">
        <v>46061</v>
      </c>
      <c r="C76" s="3" t="s">
        <v>81</v>
      </c>
      <c r="D76" t="str">
        <f>INDEX(Products_T[ProductName],MATCH(C76,Products_T[SKU],0))</f>
        <v>Peak Milk Tin 400g</v>
      </c>
      <c r="E76" s="3" t="s">
        <v>145</v>
      </c>
      <c r="F76" s="3">
        <v>200</v>
      </c>
      <c r="G76" s="3">
        <v>534</v>
      </c>
      <c r="H76" s="3" t="s">
        <v>146</v>
      </c>
    </row>
    <row r="77" spans="1:8" x14ac:dyDescent="0.25">
      <c r="A77" s="3" t="s">
        <v>223</v>
      </c>
      <c r="B77" s="13">
        <v>46061</v>
      </c>
      <c r="C77" s="3" t="s">
        <v>96</v>
      </c>
      <c r="D77" t="str">
        <f>INDEX(Products_T[ProductName],MATCH(C77,Products_T[SKU],0))</f>
        <v>Hypo Bleach 1L</v>
      </c>
      <c r="E77" s="3" t="s">
        <v>145</v>
      </c>
      <c r="F77" s="3">
        <v>162</v>
      </c>
      <c r="G77" s="3">
        <v>281</v>
      </c>
      <c r="H77" s="3" t="s">
        <v>146</v>
      </c>
    </row>
    <row r="78" spans="1:8" x14ac:dyDescent="0.25">
      <c r="A78" s="3" t="s">
        <v>224</v>
      </c>
      <c r="B78" s="13">
        <v>46061</v>
      </c>
      <c r="C78" s="3" t="s">
        <v>98</v>
      </c>
      <c r="D78" t="str">
        <f>INDEX(Products_T[ProductName],MATCH(C78,Products_T[SKU],0))</f>
        <v>Sunlight Dishwash Liquid</v>
      </c>
      <c r="E78" s="3" t="s">
        <v>145</v>
      </c>
      <c r="F78" s="3">
        <v>135</v>
      </c>
      <c r="G78" s="3">
        <v>267</v>
      </c>
      <c r="H78" s="3" t="s">
        <v>146</v>
      </c>
    </row>
    <row r="79" spans="1:8" x14ac:dyDescent="0.25">
      <c r="A79" s="3" t="s">
        <v>225</v>
      </c>
      <c r="B79" s="13">
        <v>46061</v>
      </c>
      <c r="C79" s="3" t="s">
        <v>111</v>
      </c>
      <c r="D79" t="str">
        <f>INDEX(Products_T[ProductName],MATCH(C79,Products_T[SKU],0))</f>
        <v>Power Bank 10000mAh</v>
      </c>
      <c r="E79" s="3" t="s">
        <v>145</v>
      </c>
      <c r="F79" s="3">
        <v>86</v>
      </c>
      <c r="G79" s="3">
        <v>165</v>
      </c>
      <c r="H79" s="3" t="s">
        <v>146</v>
      </c>
    </row>
    <row r="80" spans="1:8" x14ac:dyDescent="0.25">
      <c r="A80" s="3" t="s">
        <v>226</v>
      </c>
      <c r="B80" s="13">
        <v>46061</v>
      </c>
      <c r="C80" s="3" t="s">
        <v>113</v>
      </c>
      <c r="D80" t="str">
        <f>INDEX(Products_T[ProductName],MATCH(C80,Products_T[SKU],0))</f>
        <v>Phone Screen Protector</v>
      </c>
      <c r="E80" s="3" t="s">
        <v>145</v>
      </c>
      <c r="F80" s="3">
        <v>63</v>
      </c>
      <c r="G80" s="3">
        <v>137</v>
      </c>
      <c r="H80" s="3" t="s">
        <v>146</v>
      </c>
    </row>
    <row r="81" spans="1:8" x14ac:dyDescent="0.25">
      <c r="A81" s="3" t="s">
        <v>227</v>
      </c>
      <c r="B81" s="13">
        <v>46062</v>
      </c>
      <c r="C81" s="3" t="s">
        <v>68</v>
      </c>
      <c r="D81" t="str">
        <f>INDEX(Products_T[ProductName],MATCH(C81,Products_T[SKU],0))</f>
        <v>Dettol Soap 100g</v>
      </c>
      <c r="E81" s="3" t="s">
        <v>145</v>
      </c>
      <c r="F81" s="3">
        <v>184</v>
      </c>
      <c r="G81" s="3">
        <v>251</v>
      </c>
      <c r="H81" s="3" t="s">
        <v>146</v>
      </c>
    </row>
    <row r="82" spans="1:8" x14ac:dyDescent="0.25">
      <c r="A82" s="3" t="s">
        <v>228</v>
      </c>
      <c r="B82" s="13">
        <v>46062</v>
      </c>
      <c r="C82" s="3" t="s">
        <v>72</v>
      </c>
      <c r="D82" t="str">
        <f>INDEX(Products_T[ProductName],MATCH(C82,Products_T[SKU],0))</f>
        <v>Vaseline Lotion 400ml</v>
      </c>
      <c r="E82" s="3" t="s">
        <v>145</v>
      </c>
      <c r="F82" s="3">
        <v>227</v>
      </c>
      <c r="G82" s="3">
        <v>251</v>
      </c>
      <c r="H82" s="3" t="s">
        <v>146</v>
      </c>
    </row>
    <row r="83" spans="1:8" x14ac:dyDescent="0.25">
      <c r="A83" s="3" t="s">
        <v>229</v>
      </c>
      <c r="B83" s="13">
        <v>46063</v>
      </c>
      <c r="C83" s="3" t="s">
        <v>115</v>
      </c>
      <c r="D83" t="str">
        <f>INDEX(Products_T[ProductName],MATCH(C83,Products_T[SKU],0))</f>
        <v>Wireless Mouse</v>
      </c>
      <c r="E83" s="3" t="s">
        <v>145</v>
      </c>
      <c r="F83" s="3">
        <v>103</v>
      </c>
      <c r="G83" s="3">
        <v>103</v>
      </c>
      <c r="H83" s="3" t="s">
        <v>146</v>
      </c>
    </row>
    <row r="84" spans="1:8" x14ac:dyDescent="0.25">
      <c r="A84" s="3" t="s">
        <v>230</v>
      </c>
      <c r="B84" s="13">
        <v>46064</v>
      </c>
      <c r="C84" s="3" t="s">
        <v>61</v>
      </c>
      <c r="D84" t="str">
        <f>INDEX(Products_T[ProductName],MATCH(C84,Products_T[SKU],0))</f>
        <v>Bottled Water 75cl</v>
      </c>
      <c r="E84" s="3" t="s">
        <v>145</v>
      </c>
      <c r="F84" s="3">
        <v>275</v>
      </c>
      <c r="G84" s="3">
        <v>656</v>
      </c>
      <c r="H84" s="3" t="s">
        <v>146</v>
      </c>
    </row>
    <row r="85" spans="1:8" x14ac:dyDescent="0.25">
      <c r="A85" s="3" t="s">
        <v>231</v>
      </c>
      <c r="B85" s="13">
        <v>46064</v>
      </c>
      <c r="C85" s="3" t="s">
        <v>65</v>
      </c>
      <c r="D85" t="str">
        <f>INDEX(Products_T[ProductName],MATCH(C85,Products_T[SKU],0))</f>
        <v>Colgate Toothpaste 100ml</v>
      </c>
      <c r="E85" s="3" t="s">
        <v>145</v>
      </c>
      <c r="F85" s="3">
        <v>160</v>
      </c>
      <c r="G85" s="3">
        <v>350</v>
      </c>
      <c r="H85" s="3" t="s">
        <v>146</v>
      </c>
    </row>
    <row r="86" spans="1:8" x14ac:dyDescent="0.25">
      <c r="A86" s="3" t="s">
        <v>232</v>
      </c>
      <c r="B86" s="13">
        <v>46064</v>
      </c>
      <c r="C86" s="3" t="s">
        <v>83</v>
      </c>
      <c r="D86" t="str">
        <f>INDEX(Products_T[ProductName],MATCH(C86,Products_T[SKU],0))</f>
        <v>Dangote Pasta 500g</v>
      </c>
      <c r="E86" s="3" t="s">
        <v>145</v>
      </c>
      <c r="F86" s="3">
        <v>236</v>
      </c>
      <c r="G86" s="3">
        <v>260</v>
      </c>
      <c r="H86" s="3" t="s">
        <v>146</v>
      </c>
    </row>
    <row r="87" spans="1:8" x14ac:dyDescent="0.25">
      <c r="A87" s="3" t="s">
        <v>233</v>
      </c>
      <c r="B87" s="13">
        <v>46064</v>
      </c>
      <c r="C87" s="3" t="s">
        <v>100</v>
      </c>
      <c r="D87" t="str">
        <f>INDEX(Products_T[ProductName],MATCH(C87,Products_T[SKU],0))</f>
        <v>Ambipur Air Freshener</v>
      </c>
      <c r="E87" s="3" t="s">
        <v>145</v>
      </c>
      <c r="F87" s="3">
        <v>142</v>
      </c>
      <c r="G87" s="3">
        <v>142</v>
      </c>
      <c r="H87" s="3" t="s">
        <v>146</v>
      </c>
    </row>
    <row r="88" spans="1:8" x14ac:dyDescent="0.25">
      <c r="A88" s="3" t="s">
        <v>234</v>
      </c>
      <c r="B88" s="13">
        <v>46067</v>
      </c>
      <c r="C88" s="3" t="s">
        <v>70</v>
      </c>
      <c r="D88" t="str">
        <f>INDEX(Products_T[ProductName],MATCH(C88,Products_T[SKU],0))</f>
        <v>Sunsilk Shampoo 200ml</v>
      </c>
      <c r="E88" s="3" t="s">
        <v>145</v>
      </c>
      <c r="F88" s="3">
        <v>225</v>
      </c>
      <c r="G88" s="3">
        <v>241</v>
      </c>
      <c r="H88" s="3" t="s">
        <v>146</v>
      </c>
    </row>
    <row r="89" spans="1:8" x14ac:dyDescent="0.25">
      <c r="A89" s="3" t="s">
        <v>235</v>
      </c>
      <c r="B89" s="13">
        <v>46067</v>
      </c>
      <c r="C89" s="3" t="s">
        <v>74</v>
      </c>
      <c r="D89" t="str">
        <f>INDEX(Products_T[ProductName],MATCH(C89,Products_T[SKU],0))</f>
        <v>Always Sanitary Pads</v>
      </c>
      <c r="E89" s="3" t="s">
        <v>145</v>
      </c>
      <c r="F89" s="3">
        <v>184</v>
      </c>
      <c r="G89" s="3">
        <v>234</v>
      </c>
      <c r="H89" s="3" t="s">
        <v>146</v>
      </c>
    </row>
    <row r="90" spans="1:8" x14ac:dyDescent="0.25">
      <c r="A90" s="3" t="s">
        <v>236</v>
      </c>
      <c r="B90" s="13">
        <v>46067</v>
      </c>
      <c r="C90" s="3" t="s">
        <v>89</v>
      </c>
      <c r="D90" t="str">
        <f>INDEX(Products_T[ProductName],MATCH(C90,Products_T[SKU],0))</f>
        <v>Nasco Cornflakes 500g</v>
      </c>
      <c r="E90" s="3" t="s">
        <v>145</v>
      </c>
      <c r="F90" s="3">
        <v>205</v>
      </c>
      <c r="G90" s="3">
        <v>380</v>
      </c>
      <c r="H90" s="3" t="s">
        <v>146</v>
      </c>
    </row>
    <row r="91" spans="1:8" x14ac:dyDescent="0.25">
      <c r="A91" s="3" t="s">
        <v>237</v>
      </c>
      <c r="B91" s="13">
        <v>46068</v>
      </c>
      <c r="C91" s="3" t="s">
        <v>65</v>
      </c>
      <c r="D91" t="str">
        <f>INDEX(Products_T[ProductName],MATCH(C91,Products_T[SKU],0))</f>
        <v>Colgate Toothpaste 100ml</v>
      </c>
      <c r="E91" s="3" t="s">
        <v>177</v>
      </c>
      <c r="F91" s="3">
        <v>111</v>
      </c>
      <c r="G91" s="3">
        <v>239</v>
      </c>
      <c r="H91" s="3" t="s">
        <v>178</v>
      </c>
    </row>
    <row r="92" spans="1:8" x14ac:dyDescent="0.25">
      <c r="A92" s="3" t="s">
        <v>238</v>
      </c>
      <c r="B92" s="13">
        <v>46068</v>
      </c>
      <c r="C92" s="3" t="s">
        <v>91</v>
      </c>
      <c r="D92" t="str">
        <f>INDEX(Products_T[ProductName],MATCH(C92,Products_T[SKU],0))</f>
        <v>Omo Detergent 900g</v>
      </c>
      <c r="E92" s="3" t="s">
        <v>177</v>
      </c>
      <c r="F92" s="3">
        <v>158</v>
      </c>
      <c r="G92" s="3">
        <v>138</v>
      </c>
      <c r="H92" s="3" t="s">
        <v>178</v>
      </c>
    </row>
    <row r="93" spans="1:8" x14ac:dyDescent="0.25">
      <c r="A93" s="3" t="s">
        <v>239</v>
      </c>
      <c r="B93" s="13">
        <v>46068</v>
      </c>
      <c r="C93" s="3" t="s">
        <v>94</v>
      </c>
      <c r="D93" t="str">
        <f>INDEX(Products_T[ProductName],MATCH(C93,Products_T[SKU],0))</f>
        <v>Harpic Toilet Cleaner</v>
      </c>
      <c r="E93" s="3" t="s">
        <v>177</v>
      </c>
      <c r="F93" s="3">
        <v>153</v>
      </c>
      <c r="G93" s="3">
        <v>0</v>
      </c>
      <c r="H93" s="3" t="s">
        <v>178</v>
      </c>
    </row>
    <row r="94" spans="1:8" x14ac:dyDescent="0.25">
      <c r="A94" s="3" t="s">
        <v>240</v>
      </c>
      <c r="B94" s="13">
        <v>46069</v>
      </c>
      <c r="C94" s="3" t="s">
        <v>74</v>
      </c>
      <c r="D94" t="str">
        <f>INDEX(Products_T[ProductName],MATCH(C94,Products_T[SKU],0))</f>
        <v>Always Sanitary Pads</v>
      </c>
      <c r="E94" s="3" t="s">
        <v>177</v>
      </c>
      <c r="F94" s="3">
        <v>135</v>
      </c>
      <c r="G94" s="3">
        <v>99</v>
      </c>
      <c r="H94" s="3" t="s">
        <v>178</v>
      </c>
    </row>
    <row r="95" spans="1:8" x14ac:dyDescent="0.25">
      <c r="A95" s="3" t="s">
        <v>241</v>
      </c>
      <c r="B95" s="13">
        <v>46069</v>
      </c>
      <c r="C95" s="3" t="s">
        <v>81</v>
      </c>
      <c r="D95" t="str">
        <f>INDEX(Products_T[ProductName],MATCH(C95,Products_T[SKU],0))</f>
        <v>Peak Milk Tin 400g</v>
      </c>
      <c r="E95" s="3" t="s">
        <v>177</v>
      </c>
      <c r="F95" s="3">
        <v>245</v>
      </c>
      <c r="G95" s="3">
        <v>289</v>
      </c>
      <c r="H95" s="3" t="s">
        <v>178</v>
      </c>
    </row>
    <row r="96" spans="1:8" x14ac:dyDescent="0.25">
      <c r="A96" s="3" t="s">
        <v>242</v>
      </c>
      <c r="B96" s="13">
        <v>46069</v>
      </c>
      <c r="C96" s="3" t="s">
        <v>87</v>
      </c>
      <c r="D96" t="str">
        <f>INDEX(Products_T[ProductName],MATCH(C96,Products_T[SKU],0))</f>
        <v>Titus Sardine Tin</v>
      </c>
      <c r="E96" s="3" t="s">
        <v>177</v>
      </c>
      <c r="F96" s="3">
        <v>119</v>
      </c>
      <c r="G96" s="3">
        <v>62</v>
      </c>
      <c r="H96" s="3" t="s">
        <v>178</v>
      </c>
    </row>
    <row r="97" spans="1:8" x14ac:dyDescent="0.25">
      <c r="A97" s="3" t="s">
        <v>243</v>
      </c>
      <c r="B97" s="13">
        <v>46069</v>
      </c>
      <c r="C97" s="3" t="s">
        <v>117</v>
      </c>
      <c r="D97" t="str">
        <f>INDEX(Products_T[ProductName],MATCH(C97,Products_T[SKU],0))</f>
        <v>Extension Socket 4-way</v>
      </c>
      <c r="E97" s="3" t="s">
        <v>177</v>
      </c>
      <c r="F97" s="3">
        <v>39</v>
      </c>
      <c r="G97" s="3">
        <v>79</v>
      </c>
      <c r="H97" s="3" t="s">
        <v>178</v>
      </c>
    </row>
    <row r="98" spans="1:8" x14ac:dyDescent="0.25">
      <c r="A98" s="3" t="s">
        <v>244</v>
      </c>
      <c r="B98" s="13">
        <v>46070</v>
      </c>
      <c r="C98" s="3" t="s">
        <v>96</v>
      </c>
      <c r="D98" t="str">
        <f>INDEX(Products_T[ProductName],MATCH(C98,Products_T[SKU],0))</f>
        <v>Hypo Bleach 1L</v>
      </c>
      <c r="E98" s="3" t="s">
        <v>177</v>
      </c>
      <c r="F98" s="3">
        <v>192</v>
      </c>
      <c r="G98" s="3">
        <v>89</v>
      </c>
      <c r="H98" s="3" t="s">
        <v>178</v>
      </c>
    </row>
    <row r="99" spans="1:8" x14ac:dyDescent="0.25">
      <c r="A99" s="3" t="s">
        <v>245</v>
      </c>
      <c r="B99" s="13">
        <v>46070</v>
      </c>
      <c r="C99" s="3" t="s">
        <v>100</v>
      </c>
      <c r="D99" t="str">
        <f>INDEX(Products_T[ProductName],MATCH(C99,Products_T[SKU],0))</f>
        <v>Ambipur Air Freshener</v>
      </c>
      <c r="E99" s="3" t="s">
        <v>177</v>
      </c>
      <c r="F99" s="3">
        <v>142</v>
      </c>
      <c r="G99" s="3">
        <v>0</v>
      </c>
      <c r="H99" s="3" t="s">
        <v>178</v>
      </c>
    </row>
    <row r="100" spans="1:8" x14ac:dyDescent="0.25">
      <c r="A100" s="3" t="s">
        <v>246</v>
      </c>
      <c r="B100" s="13">
        <v>46071</v>
      </c>
      <c r="C100" s="3" t="s">
        <v>115</v>
      </c>
      <c r="D100" t="str">
        <f>INDEX(Products_T[ProductName],MATCH(C100,Products_T[SKU],0))</f>
        <v>Wireless Mouse</v>
      </c>
      <c r="E100" s="3" t="s">
        <v>177</v>
      </c>
      <c r="F100" s="3">
        <v>69</v>
      </c>
      <c r="G100" s="3">
        <v>34</v>
      </c>
      <c r="H100" s="3" t="s">
        <v>178</v>
      </c>
    </row>
    <row r="101" spans="1:8" x14ac:dyDescent="0.25">
      <c r="A101" s="3" t="s">
        <v>247</v>
      </c>
      <c r="B101" s="13">
        <v>46072</v>
      </c>
      <c r="C101" s="3" t="s">
        <v>54</v>
      </c>
      <c r="D101" t="str">
        <f>INDEX(Products_T[ProductName],MATCH(C101,Products_T[SKU],0))</f>
        <v>Coca-Cola 1.5L</v>
      </c>
      <c r="E101" s="3" t="s">
        <v>177</v>
      </c>
      <c r="F101" s="3">
        <v>165</v>
      </c>
      <c r="G101" s="3">
        <v>278</v>
      </c>
      <c r="H101" s="3" t="s">
        <v>178</v>
      </c>
    </row>
    <row r="102" spans="1:8" x14ac:dyDescent="0.25">
      <c r="A102" s="3" t="s">
        <v>248</v>
      </c>
      <c r="B102" s="13">
        <v>46073</v>
      </c>
      <c r="C102" s="3" t="s">
        <v>61</v>
      </c>
      <c r="D102" t="str">
        <f>INDEX(Products_T[ProductName],MATCH(C102,Products_T[SKU],0))</f>
        <v>Bottled Water 75cl</v>
      </c>
      <c r="E102" s="3" t="s">
        <v>177</v>
      </c>
      <c r="F102" s="3">
        <v>201</v>
      </c>
      <c r="G102" s="3">
        <v>455</v>
      </c>
      <c r="H102" s="3" t="s">
        <v>178</v>
      </c>
    </row>
    <row r="103" spans="1:8" x14ac:dyDescent="0.25">
      <c r="A103" s="3" t="s">
        <v>249</v>
      </c>
      <c r="B103" s="13">
        <v>46073</v>
      </c>
      <c r="C103" s="3" t="s">
        <v>79</v>
      </c>
      <c r="D103" t="str">
        <f>INDEX(Products_T[ProductName],MATCH(C103,Products_T[SKU],0))</f>
        <v>Golden Penny Semovita 1kg</v>
      </c>
      <c r="E103" s="3" t="s">
        <v>177</v>
      </c>
      <c r="F103" s="3">
        <v>258</v>
      </c>
      <c r="G103" s="3">
        <v>47</v>
      </c>
      <c r="H103" s="3" t="s">
        <v>178</v>
      </c>
    </row>
    <row r="104" spans="1:8" x14ac:dyDescent="0.25">
      <c r="A104" s="3" t="s">
        <v>250</v>
      </c>
      <c r="B104" s="13">
        <v>46073</v>
      </c>
      <c r="C104" s="3" t="s">
        <v>104</v>
      </c>
      <c r="D104" t="str">
        <f>INDEX(Products_T[ProductName],MATCH(C104,Products_T[SKU],0))</f>
        <v>USB-C Charging Cable</v>
      </c>
      <c r="E104" s="3" t="s">
        <v>177</v>
      </c>
      <c r="F104" s="3">
        <v>62</v>
      </c>
      <c r="G104" s="3">
        <v>56</v>
      </c>
      <c r="H104" s="3" t="s">
        <v>178</v>
      </c>
    </row>
    <row r="105" spans="1:8" x14ac:dyDescent="0.25">
      <c r="A105" s="3" t="s">
        <v>251</v>
      </c>
      <c r="B105" s="13">
        <v>46074</v>
      </c>
      <c r="C105" s="3" t="s">
        <v>98</v>
      </c>
      <c r="D105" t="str">
        <f>INDEX(Products_T[ProductName],MATCH(C105,Products_T[SKU],0))</f>
        <v>Sunlight Dishwash Liquid</v>
      </c>
      <c r="E105" s="3" t="s">
        <v>177</v>
      </c>
      <c r="F105" s="3">
        <v>92</v>
      </c>
      <c r="G105" s="3">
        <v>175</v>
      </c>
      <c r="H105" s="3" t="s">
        <v>178</v>
      </c>
    </row>
    <row r="106" spans="1:8" x14ac:dyDescent="0.25">
      <c r="A106" s="3" t="s">
        <v>252</v>
      </c>
      <c r="B106" s="13">
        <v>46076</v>
      </c>
      <c r="C106" s="3" t="s">
        <v>89</v>
      </c>
      <c r="D106" t="str">
        <f>INDEX(Products_T[ProductName],MATCH(C106,Products_T[SKU],0))</f>
        <v>Nasco Cornflakes 500g</v>
      </c>
      <c r="E106" s="3" t="s">
        <v>177</v>
      </c>
      <c r="F106" s="3">
        <v>146</v>
      </c>
      <c r="G106" s="3">
        <v>234</v>
      </c>
      <c r="H106" s="3" t="s">
        <v>178</v>
      </c>
    </row>
    <row r="107" spans="1:8" x14ac:dyDescent="0.25">
      <c r="A107" s="3" t="s">
        <v>253</v>
      </c>
      <c r="B107" s="13">
        <v>46076</v>
      </c>
      <c r="C107" s="3" t="s">
        <v>109</v>
      </c>
      <c r="D107" t="str">
        <f>INDEX(Products_T[ProductName],MATCH(C107,Products_T[SKU],0))</f>
        <v>HDMI Cable 1.5m</v>
      </c>
      <c r="E107" s="3" t="s">
        <v>177</v>
      </c>
      <c r="F107" s="3">
        <v>90</v>
      </c>
      <c r="G107" s="3">
        <v>57</v>
      </c>
      <c r="H107" s="3" t="s">
        <v>178</v>
      </c>
    </row>
    <row r="108" spans="1:8" x14ac:dyDescent="0.25">
      <c r="A108" s="3" t="s">
        <v>254</v>
      </c>
      <c r="B108" s="13">
        <v>46077</v>
      </c>
      <c r="C108" s="3" t="s">
        <v>57</v>
      </c>
      <c r="D108" t="str">
        <f>INDEX(Products_T[ProductName],MATCH(C108,Products_T[SKU],0))</f>
        <v>Sprite 1.5L</v>
      </c>
      <c r="E108" s="3" t="s">
        <v>177</v>
      </c>
      <c r="F108" s="3">
        <v>254</v>
      </c>
      <c r="G108" s="3">
        <v>137</v>
      </c>
      <c r="H108" s="3" t="s">
        <v>178</v>
      </c>
    </row>
    <row r="109" spans="1:8" x14ac:dyDescent="0.25">
      <c r="A109" s="3" t="s">
        <v>255</v>
      </c>
      <c r="B109" s="13">
        <v>46077</v>
      </c>
      <c r="C109" s="3" t="s">
        <v>59</v>
      </c>
      <c r="D109" t="str">
        <f>INDEX(Products_T[ProductName],MATCH(C109,Products_T[SKU],0))</f>
        <v>Fanta 1.5L</v>
      </c>
      <c r="E109" s="3" t="s">
        <v>177</v>
      </c>
      <c r="F109" s="3">
        <v>399</v>
      </c>
      <c r="G109" s="3">
        <v>132</v>
      </c>
      <c r="H109" s="3" t="s">
        <v>178</v>
      </c>
    </row>
    <row r="110" spans="1:8" x14ac:dyDescent="0.25">
      <c r="A110" s="3" t="s">
        <v>256</v>
      </c>
      <c r="B110" s="13">
        <v>46077</v>
      </c>
      <c r="C110" s="3" t="s">
        <v>63</v>
      </c>
      <c r="D110" t="str">
        <f>INDEX(Products_T[ProductName],MATCH(C110,Products_T[SKU],0))</f>
        <v>Malt Drink 33cl</v>
      </c>
      <c r="E110" s="3" t="s">
        <v>177</v>
      </c>
      <c r="F110" s="3">
        <v>290</v>
      </c>
      <c r="G110" s="3">
        <v>0</v>
      </c>
      <c r="H110" s="3" t="s">
        <v>178</v>
      </c>
    </row>
    <row r="111" spans="1:8" x14ac:dyDescent="0.25">
      <c r="A111" s="3" t="s">
        <v>257</v>
      </c>
      <c r="B111" s="13">
        <v>46078</v>
      </c>
      <c r="C111" s="3" t="s">
        <v>83</v>
      </c>
      <c r="D111" t="str">
        <f>INDEX(Products_T[ProductName],MATCH(C111,Products_T[SKU],0))</f>
        <v>Dangote Pasta 500g</v>
      </c>
      <c r="E111" s="3" t="s">
        <v>177</v>
      </c>
      <c r="F111" s="3">
        <v>176</v>
      </c>
      <c r="G111" s="3">
        <v>84</v>
      </c>
      <c r="H111" s="3" t="s">
        <v>178</v>
      </c>
    </row>
    <row r="112" spans="1:8" x14ac:dyDescent="0.25">
      <c r="A112" s="3" t="s">
        <v>258</v>
      </c>
      <c r="B112" s="13">
        <v>46078</v>
      </c>
      <c r="C112" s="3" t="s">
        <v>85</v>
      </c>
      <c r="D112" t="str">
        <f>INDEX(Products_T[ProductName],MATCH(C112,Products_T[SKU],0))</f>
        <v>Kings Vegetable Oil 1L</v>
      </c>
      <c r="E112" s="3" t="s">
        <v>177</v>
      </c>
      <c r="F112" s="3">
        <v>114</v>
      </c>
      <c r="G112" s="3">
        <v>17</v>
      </c>
      <c r="H112" s="3" t="s">
        <v>178</v>
      </c>
    </row>
    <row r="113" spans="1:8" x14ac:dyDescent="0.25">
      <c r="A113" s="3" t="s">
        <v>259</v>
      </c>
      <c r="B113" s="13">
        <v>46078</v>
      </c>
      <c r="C113" s="3" t="s">
        <v>111</v>
      </c>
      <c r="D113" t="str">
        <f>INDEX(Products_T[ProductName],MATCH(C113,Products_T[SKU],0))</f>
        <v>Power Bank 10000mAh</v>
      </c>
      <c r="E113" s="3" t="s">
        <v>177</v>
      </c>
      <c r="F113" s="3">
        <v>59</v>
      </c>
      <c r="G113" s="3">
        <v>106</v>
      </c>
      <c r="H113" s="3" t="s">
        <v>178</v>
      </c>
    </row>
    <row r="114" spans="1:8" x14ac:dyDescent="0.25">
      <c r="A114" s="3" t="s">
        <v>260</v>
      </c>
      <c r="B114" s="13">
        <v>46079</v>
      </c>
      <c r="C114" s="3" t="s">
        <v>68</v>
      </c>
      <c r="D114" t="str">
        <f>INDEX(Products_T[ProductName],MATCH(C114,Products_T[SKU],0))</f>
        <v>Dettol Soap 100g</v>
      </c>
      <c r="E114" s="3" t="s">
        <v>177</v>
      </c>
      <c r="F114" s="3">
        <v>116</v>
      </c>
      <c r="G114" s="3">
        <v>135</v>
      </c>
      <c r="H114" s="3" t="s">
        <v>178</v>
      </c>
    </row>
    <row r="115" spans="1:8" x14ac:dyDescent="0.25">
      <c r="A115" s="3" t="s">
        <v>261</v>
      </c>
      <c r="B115" s="13">
        <v>46079</v>
      </c>
      <c r="C115" s="3" t="s">
        <v>113</v>
      </c>
      <c r="D115" t="str">
        <f>INDEX(Products_T[ProductName],MATCH(C115,Products_T[SKU],0))</f>
        <v>Phone Screen Protector</v>
      </c>
      <c r="E115" s="3" t="s">
        <v>177</v>
      </c>
      <c r="F115" s="3">
        <v>43</v>
      </c>
      <c r="G115" s="3">
        <v>94</v>
      </c>
      <c r="H115" s="3" t="s">
        <v>178</v>
      </c>
    </row>
    <row r="116" spans="1:8" x14ac:dyDescent="0.25">
      <c r="A116" s="3" t="s">
        <v>262</v>
      </c>
      <c r="B116" s="13">
        <v>46080</v>
      </c>
      <c r="C116" s="3" t="s">
        <v>70</v>
      </c>
      <c r="D116" t="str">
        <f>INDEX(Products_T[ProductName],MATCH(C116,Products_T[SKU],0))</f>
        <v>Sunsilk Shampoo 200ml</v>
      </c>
      <c r="E116" s="3" t="s">
        <v>177</v>
      </c>
      <c r="F116" s="3">
        <v>241</v>
      </c>
      <c r="G116" s="3">
        <v>0</v>
      </c>
      <c r="H116" s="3" t="s">
        <v>178</v>
      </c>
    </row>
    <row r="117" spans="1:8" x14ac:dyDescent="0.25">
      <c r="A117" s="3" t="s">
        <v>263</v>
      </c>
      <c r="B117" s="13">
        <v>46080</v>
      </c>
      <c r="C117" s="3" t="s">
        <v>107</v>
      </c>
      <c r="D117" t="str">
        <f>INDEX(Products_T[ProductName],MATCH(C117,Products_T[SKU],0))</f>
        <v>Bluetooth Earbuds</v>
      </c>
      <c r="E117" s="3" t="s">
        <v>177</v>
      </c>
      <c r="F117" s="3">
        <v>80</v>
      </c>
      <c r="G117" s="3">
        <v>21</v>
      </c>
      <c r="H117" s="3" t="s">
        <v>178</v>
      </c>
    </row>
    <row r="118" spans="1:8" x14ac:dyDescent="0.25">
      <c r="A118" s="3" t="s">
        <v>264</v>
      </c>
      <c r="B118" s="13">
        <v>46081</v>
      </c>
      <c r="C118" s="3" t="s">
        <v>72</v>
      </c>
      <c r="D118" t="str">
        <f>INDEX(Products_T[ProductName],MATCH(C118,Products_T[SKU],0))</f>
        <v>Vaseline Lotion 400ml</v>
      </c>
      <c r="E118" s="3" t="s">
        <v>177</v>
      </c>
      <c r="F118" s="3">
        <v>251</v>
      </c>
      <c r="G118" s="3">
        <v>0</v>
      </c>
      <c r="H118" s="3" t="s">
        <v>178</v>
      </c>
    </row>
    <row r="119" spans="1:8" x14ac:dyDescent="0.25">
      <c r="A119" s="3" t="s">
        <v>265</v>
      </c>
      <c r="B119" s="13">
        <v>46081</v>
      </c>
      <c r="C119" s="3" t="s">
        <v>76</v>
      </c>
      <c r="D119" t="str">
        <f>INDEX(Products_T[ProductName],MATCH(C119,Products_T[SKU],0))</f>
        <v>Indomie Noodles Carton</v>
      </c>
      <c r="E119" s="3" t="s">
        <v>177</v>
      </c>
      <c r="F119" s="3">
        <v>278</v>
      </c>
      <c r="G119" s="3">
        <v>68</v>
      </c>
      <c r="H119" s="3" t="s">
        <v>178</v>
      </c>
    </row>
    <row r="120" spans="1:8" x14ac:dyDescent="0.25">
      <c r="A120" s="3" t="s">
        <v>266</v>
      </c>
      <c r="B120" s="13">
        <v>46081</v>
      </c>
      <c r="C120" s="3" t="s">
        <v>98</v>
      </c>
      <c r="D120" t="str">
        <f>INDEX(Products_T[ProductName],MATCH(C120,Products_T[SKU],0))</f>
        <v>Sunlight Dishwash Liquid</v>
      </c>
      <c r="E120" s="3" t="s">
        <v>267</v>
      </c>
      <c r="F120" s="3">
        <v>-15</v>
      </c>
      <c r="G120" s="3">
        <v>160</v>
      </c>
      <c r="H120" s="3" t="s">
        <v>268</v>
      </c>
    </row>
    <row r="121" spans="1:8" x14ac:dyDescent="0.25">
      <c r="A121" s="3" t="s">
        <v>269</v>
      </c>
      <c r="B121" s="13">
        <v>46084</v>
      </c>
      <c r="C121" s="3" t="s">
        <v>104</v>
      </c>
      <c r="D121" t="str">
        <f>INDEX(Products_T[ProductName],MATCH(C121,Products_T[SKU],0))</f>
        <v>USB-C Charging Cable</v>
      </c>
      <c r="E121" s="3" t="s">
        <v>145</v>
      </c>
      <c r="F121" s="3">
        <v>59</v>
      </c>
      <c r="G121" s="3">
        <v>115</v>
      </c>
      <c r="H121" s="3" t="s">
        <v>146</v>
      </c>
    </row>
    <row r="122" spans="1:8" x14ac:dyDescent="0.25">
      <c r="A122" s="3" t="s">
        <v>270</v>
      </c>
      <c r="B122" s="13">
        <v>46085</v>
      </c>
      <c r="C122" s="3" t="s">
        <v>57</v>
      </c>
      <c r="D122" t="str">
        <f>INDEX(Products_T[ProductName],MATCH(C122,Products_T[SKU],0))</f>
        <v>Sprite 1.5L</v>
      </c>
      <c r="E122" s="3" t="s">
        <v>145</v>
      </c>
      <c r="F122" s="3">
        <v>261</v>
      </c>
      <c r="G122" s="3">
        <v>398</v>
      </c>
      <c r="H122" s="3" t="s">
        <v>146</v>
      </c>
    </row>
    <row r="123" spans="1:8" x14ac:dyDescent="0.25">
      <c r="A123" s="3" t="s">
        <v>271</v>
      </c>
      <c r="B123" s="13">
        <v>46085</v>
      </c>
      <c r="C123" s="3" t="s">
        <v>59</v>
      </c>
      <c r="D123" t="str">
        <f>INDEX(Products_T[ProductName],MATCH(C123,Products_T[SKU],0))</f>
        <v>Fanta 1.5L</v>
      </c>
      <c r="E123" s="3" t="s">
        <v>145</v>
      </c>
      <c r="F123" s="3">
        <v>266</v>
      </c>
      <c r="G123" s="3">
        <v>398</v>
      </c>
      <c r="H123" s="3" t="s">
        <v>146</v>
      </c>
    </row>
    <row r="124" spans="1:8" x14ac:dyDescent="0.25">
      <c r="A124" s="3" t="s">
        <v>272</v>
      </c>
      <c r="B124" s="13">
        <v>46085</v>
      </c>
      <c r="C124" s="3" t="s">
        <v>79</v>
      </c>
      <c r="D124" t="str">
        <f>INDEX(Products_T[ProductName],MATCH(C124,Products_T[SKU],0))</f>
        <v>Golden Penny Semovita 1kg</v>
      </c>
      <c r="E124" s="3" t="s">
        <v>145</v>
      </c>
      <c r="F124" s="3">
        <v>234</v>
      </c>
      <c r="G124" s="3">
        <v>281</v>
      </c>
      <c r="H124" s="3" t="s">
        <v>146</v>
      </c>
    </row>
    <row r="125" spans="1:8" x14ac:dyDescent="0.25">
      <c r="A125" s="3" t="s">
        <v>273</v>
      </c>
      <c r="B125" s="13">
        <v>46085</v>
      </c>
      <c r="C125" s="3" t="s">
        <v>107</v>
      </c>
      <c r="D125" t="str">
        <f>INDEX(Products_T[ProductName],MATCH(C125,Products_T[SKU],0))</f>
        <v>Bluetooth Earbuds</v>
      </c>
      <c r="E125" s="3" t="s">
        <v>145</v>
      </c>
      <c r="F125" s="3">
        <v>53</v>
      </c>
      <c r="G125" s="3">
        <v>74</v>
      </c>
      <c r="H125" s="3" t="s">
        <v>146</v>
      </c>
    </row>
    <row r="126" spans="1:8" x14ac:dyDescent="0.25">
      <c r="A126" s="3" t="s">
        <v>274</v>
      </c>
      <c r="B126" s="13">
        <v>46085</v>
      </c>
      <c r="C126" s="3" t="s">
        <v>113</v>
      </c>
      <c r="D126" t="str">
        <f>INDEX(Products_T[ProductName],MATCH(C126,Products_T[SKU],0))</f>
        <v>Phone Screen Protector</v>
      </c>
      <c r="E126" s="3" t="s">
        <v>145</v>
      </c>
      <c r="F126" s="3">
        <v>65</v>
      </c>
      <c r="G126" s="3">
        <v>159</v>
      </c>
      <c r="H126" s="3" t="s">
        <v>146</v>
      </c>
    </row>
    <row r="127" spans="1:8" x14ac:dyDescent="0.25">
      <c r="A127" s="3" t="s">
        <v>275</v>
      </c>
      <c r="B127" s="13">
        <v>46086</v>
      </c>
      <c r="C127" s="3" t="s">
        <v>83</v>
      </c>
      <c r="D127" t="str">
        <f>INDEX(Products_T[ProductName],MATCH(C127,Products_T[SKU],0))</f>
        <v>Dangote Pasta 500g</v>
      </c>
      <c r="E127" s="3" t="s">
        <v>145</v>
      </c>
      <c r="F127" s="3">
        <v>159</v>
      </c>
      <c r="G127" s="3">
        <v>243</v>
      </c>
      <c r="H127" s="3" t="s">
        <v>146</v>
      </c>
    </row>
    <row r="128" spans="1:8" x14ac:dyDescent="0.25">
      <c r="A128" s="3" t="s">
        <v>276</v>
      </c>
      <c r="B128" s="13">
        <v>46086</v>
      </c>
      <c r="C128" s="3" t="s">
        <v>100</v>
      </c>
      <c r="D128" t="str">
        <f>INDEX(Products_T[ProductName],MATCH(C128,Products_T[SKU],0))</f>
        <v>Ambipur Air Freshener</v>
      </c>
      <c r="E128" s="3" t="s">
        <v>145</v>
      </c>
      <c r="F128" s="3">
        <v>211</v>
      </c>
      <c r="G128" s="3">
        <v>211</v>
      </c>
      <c r="H128" s="3" t="s">
        <v>146</v>
      </c>
    </row>
    <row r="129" spans="1:8" x14ac:dyDescent="0.25">
      <c r="A129" s="3" t="s">
        <v>277</v>
      </c>
      <c r="B129" s="13">
        <v>46087</v>
      </c>
      <c r="C129" s="3" t="s">
        <v>68</v>
      </c>
      <c r="D129" t="str">
        <f>INDEX(Products_T[ProductName],MATCH(C129,Products_T[SKU],0))</f>
        <v>Dettol Soap 100g</v>
      </c>
      <c r="E129" s="3" t="s">
        <v>145</v>
      </c>
      <c r="F129" s="3">
        <v>141</v>
      </c>
      <c r="G129" s="3">
        <v>276</v>
      </c>
      <c r="H129" s="3" t="s">
        <v>146</v>
      </c>
    </row>
    <row r="130" spans="1:8" x14ac:dyDescent="0.25">
      <c r="A130" s="3" t="s">
        <v>278</v>
      </c>
      <c r="B130" s="13">
        <v>46087</v>
      </c>
      <c r="C130" s="3" t="s">
        <v>70</v>
      </c>
      <c r="D130" t="str">
        <f>INDEX(Products_T[ProductName],MATCH(C130,Products_T[SKU],0))</f>
        <v>Sunsilk Shampoo 200ml</v>
      </c>
      <c r="E130" s="3" t="s">
        <v>145</v>
      </c>
      <c r="F130" s="3">
        <v>263</v>
      </c>
      <c r="G130" s="3">
        <v>263</v>
      </c>
      <c r="H130" s="3" t="s">
        <v>146</v>
      </c>
    </row>
    <row r="131" spans="1:8" x14ac:dyDescent="0.25">
      <c r="A131" s="3" t="s">
        <v>279</v>
      </c>
      <c r="B131" s="13">
        <v>46087</v>
      </c>
      <c r="C131" s="3" t="s">
        <v>72</v>
      </c>
      <c r="D131" t="str">
        <f>INDEX(Products_T[ProductName],MATCH(C131,Products_T[SKU],0))</f>
        <v>Vaseline Lotion 400ml</v>
      </c>
      <c r="E131" s="3" t="s">
        <v>145</v>
      </c>
      <c r="F131" s="3">
        <v>321</v>
      </c>
      <c r="G131" s="3">
        <v>321</v>
      </c>
      <c r="H131" s="3" t="s">
        <v>146</v>
      </c>
    </row>
    <row r="132" spans="1:8" x14ac:dyDescent="0.25">
      <c r="A132" s="3" t="s">
        <v>280</v>
      </c>
      <c r="B132" s="13">
        <v>46088</v>
      </c>
      <c r="C132" s="3" t="s">
        <v>81</v>
      </c>
      <c r="D132" t="str">
        <f>INDEX(Products_T[ProductName],MATCH(C132,Products_T[SKU],0))</f>
        <v>Peak Milk Tin 400g</v>
      </c>
      <c r="E132" s="3" t="s">
        <v>145</v>
      </c>
      <c r="F132" s="3">
        <v>247</v>
      </c>
      <c r="G132" s="3">
        <v>536</v>
      </c>
      <c r="H132" s="3" t="s">
        <v>146</v>
      </c>
    </row>
    <row r="133" spans="1:8" x14ac:dyDescent="0.25">
      <c r="A133" s="3" t="s">
        <v>281</v>
      </c>
      <c r="B133" s="13">
        <v>46088</v>
      </c>
      <c r="C133" s="3" t="s">
        <v>87</v>
      </c>
      <c r="D133" t="str">
        <f>INDEX(Products_T[ProductName],MATCH(C133,Products_T[SKU],0))</f>
        <v>Titus Sardine Tin</v>
      </c>
      <c r="E133" s="3" t="s">
        <v>145</v>
      </c>
      <c r="F133" s="3">
        <v>183</v>
      </c>
      <c r="G133" s="3">
        <v>245</v>
      </c>
      <c r="H133" s="3" t="s">
        <v>146</v>
      </c>
    </row>
    <row r="134" spans="1:8" x14ac:dyDescent="0.25">
      <c r="A134" s="3" t="s">
        <v>282</v>
      </c>
      <c r="B134" s="13">
        <v>46088</v>
      </c>
      <c r="C134" s="3" t="s">
        <v>98</v>
      </c>
      <c r="D134" t="str">
        <f>INDEX(Products_T[ProductName],MATCH(C134,Products_T[SKU],0))</f>
        <v>Sunlight Dishwash Liquid</v>
      </c>
      <c r="E134" s="3" t="s">
        <v>145</v>
      </c>
      <c r="F134" s="3">
        <v>136</v>
      </c>
      <c r="G134" s="3">
        <v>296</v>
      </c>
      <c r="H134" s="3" t="s">
        <v>146</v>
      </c>
    </row>
    <row r="135" spans="1:8" x14ac:dyDescent="0.25">
      <c r="A135" s="3" t="s">
        <v>283</v>
      </c>
      <c r="B135" s="13">
        <v>46088</v>
      </c>
      <c r="C135" s="3" t="s">
        <v>109</v>
      </c>
      <c r="D135" t="str">
        <f>INDEX(Products_T[ProductName],MATCH(C135,Products_T[SKU],0))</f>
        <v>HDMI Cable 1.5m</v>
      </c>
      <c r="E135" s="3" t="s">
        <v>145</v>
      </c>
      <c r="F135" s="3">
        <v>61</v>
      </c>
      <c r="G135" s="3">
        <v>118</v>
      </c>
      <c r="H135" s="3" t="s">
        <v>146</v>
      </c>
    </row>
    <row r="136" spans="1:8" x14ac:dyDescent="0.25">
      <c r="A136" s="3" t="s">
        <v>284</v>
      </c>
      <c r="B136" s="13">
        <v>46089</v>
      </c>
      <c r="C136" s="3" t="s">
        <v>115</v>
      </c>
      <c r="D136" t="str">
        <f>INDEX(Products_T[ProductName],MATCH(C136,Products_T[SKU],0))</f>
        <v>Wireless Mouse</v>
      </c>
      <c r="E136" s="3" t="s">
        <v>145</v>
      </c>
      <c r="F136" s="3">
        <v>107</v>
      </c>
      <c r="G136" s="3">
        <v>141</v>
      </c>
      <c r="H136" s="3" t="s">
        <v>146</v>
      </c>
    </row>
    <row r="137" spans="1:8" x14ac:dyDescent="0.25">
      <c r="A137" s="3" t="s">
        <v>285</v>
      </c>
      <c r="B137" s="13">
        <v>46090</v>
      </c>
      <c r="C137" s="3" t="s">
        <v>54</v>
      </c>
      <c r="D137" t="str">
        <f>INDEX(Products_T[ProductName],MATCH(C137,Products_T[SKU],0))</f>
        <v>Coca-Cola 1.5L</v>
      </c>
      <c r="E137" s="3" t="s">
        <v>145</v>
      </c>
      <c r="F137" s="3">
        <v>239</v>
      </c>
      <c r="G137" s="3">
        <v>517</v>
      </c>
      <c r="H137" s="3" t="s">
        <v>146</v>
      </c>
    </row>
    <row r="138" spans="1:8" x14ac:dyDescent="0.25">
      <c r="A138" s="3" t="s">
        <v>286</v>
      </c>
      <c r="B138" s="13">
        <v>46090</v>
      </c>
      <c r="C138" s="3" t="s">
        <v>63</v>
      </c>
      <c r="D138" t="str">
        <f>INDEX(Products_T[ProductName],MATCH(C138,Products_T[SKU],0))</f>
        <v>Malt Drink 33cl</v>
      </c>
      <c r="E138" s="3" t="s">
        <v>145</v>
      </c>
      <c r="F138" s="3">
        <v>336</v>
      </c>
      <c r="G138" s="3">
        <v>336</v>
      </c>
      <c r="H138" s="3" t="s">
        <v>146</v>
      </c>
    </row>
    <row r="139" spans="1:8" x14ac:dyDescent="0.25">
      <c r="A139" s="3" t="s">
        <v>287</v>
      </c>
      <c r="B139" s="13">
        <v>46090</v>
      </c>
      <c r="C139" s="3" t="s">
        <v>111</v>
      </c>
      <c r="D139" t="str">
        <f>INDEX(Products_T[ProductName],MATCH(C139,Products_T[SKU],0))</f>
        <v>Power Bank 10000mAh</v>
      </c>
      <c r="E139" s="3" t="s">
        <v>145</v>
      </c>
      <c r="F139" s="3">
        <v>76</v>
      </c>
      <c r="G139" s="3">
        <v>182</v>
      </c>
      <c r="H139" s="3" t="s">
        <v>146</v>
      </c>
    </row>
    <row r="140" spans="1:8" x14ac:dyDescent="0.25">
      <c r="A140" s="3" t="s">
        <v>288</v>
      </c>
      <c r="B140" s="13">
        <v>46091</v>
      </c>
      <c r="C140" s="3" t="s">
        <v>76</v>
      </c>
      <c r="D140" t="str">
        <f>INDEX(Products_T[ProductName],MATCH(C140,Products_T[SKU],0))</f>
        <v>Indomie Noodles Carton</v>
      </c>
      <c r="E140" s="3" t="s">
        <v>145</v>
      </c>
      <c r="F140" s="3">
        <v>202</v>
      </c>
      <c r="G140" s="3">
        <v>270</v>
      </c>
      <c r="H140" s="3" t="s">
        <v>146</v>
      </c>
    </row>
    <row r="141" spans="1:8" x14ac:dyDescent="0.25">
      <c r="A141" s="3" t="s">
        <v>289</v>
      </c>
      <c r="B141" s="13">
        <v>46091</v>
      </c>
      <c r="C141" s="3" t="s">
        <v>91</v>
      </c>
      <c r="D141" t="str">
        <f>INDEX(Products_T[ProductName],MATCH(C141,Products_T[SKU],0))</f>
        <v>Omo Detergent 900g</v>
      </c>
      <c r="E141" s="3" t="s">
        <v>145</v>
      </c>
      <c r="F141" s="3">
        <v>153</v>
      </c>
      <c r="G141" s="3">
        <v>291</v>
      </c>
      <c r="H141" s="3" t="s">
        <v>146</v>
      </c>
    </row>
    <row r="142" spans="1:8" x14ac:dyDescent="0.25">
      <c r="A142" s="3" t="s">
        <v>290</v>
      </c>
      <c r="B142" s="13">
        <v>46091</v>
      </c>
      <c r="C142" s="3" t="s">
        <v>94</v>
      </c>
      <c r="D142" t="str">
        <f>INDEX(Products_T[ProductName],MATCH(C142,Products_T[SKU],0))</f>
        <v>Harpic Toilet Cleaner</v>
      </c>
      <c r="E142" s="3" t="s">
        <v>145</v>
      </c>
      <c r="F142" s="3">
        <v>194</v>
      </c>
      <c r="G142" s="3">
        <v>194</v>
      </c>
      <c r="H142" s="3" t="s">
        <v>146</v>
      </c>
    </row>
    <row r="143" spans="1:8" x14ac:dyDescent="0.25">
      <c r="A143" s="3" t="s">
        <v>291</v>
      </c>
      <c r="B143" s="13">
        <v>46091</v>
      </c>
      <c r="C143" s="3" t="s">
        <v>117</v>
      </c>
      <c r="D143" t="str">
        <f>INDEX(Products_T[ProductName],MATCH(C143,Products_T[SKU],0))</f>
        <v>Extension Socket 4-way</v>
      </c>
      <c r="E143" s="3" t="s">
        <v>145</v>
      </c>
      <c r="F143" s="3">
        <v>42</v>
      </c>
      <c r="G143" s="3">
        <v>121</v>
      </c>
      <c r="H143" s="3" t="s">
        <v>146</v>
      </c>
    </row>
    <row r="144" spans="1:8" x14ac:dyDescent="0.25">
      <c r="A144" s="3" t="s">
        <v>292</v>
      </c>
      <c r="B144" s="13">
        <v>46092</v>
      </c>
      <c r="C144" s="3" t="s">
        <v>74</v>
      </c>
      <c r="D144" t="str">
        <f>INDEX(Products_T[ProductName],MATCH(C144,Products_T[SKU],0))</f>
        <v>Always Sanitary Pads</v>
      </c>
      <c r="E144" s="3" t="s">
        <v>145</v>
      </c>
      <c r="F144" s="3">
        <v>146</v>
      </c>
      <c r="G144" s="3">
        <v>245</v>
      </c>
      <c r="H144" s="3" t="s">
        <v>146</v>
      </c>
    </row>
    <row r="145" spans="1:8" x14ac:dyDescent="0.25">
      <c r="A145" s="3" t="s">
        <v>293</v>
      </c>
      <c r="B145" s="13">
        <v>46093</v>
      </c>
      <c r="C145" s="3" t="s">
        <v>61</v>
      </c>
      <c r="D145" t="str">
        <f>INDEX(Products_T[ProductName],MATCH(C145,Products_T[SKU],0))</f>
        <v>Bottled Water 75cl</v>
      </c>
      <c r="E145" s="3" t="s">
        <v>145</v>
      </c>
      <c r="F145" s="3">
        <v>207</v>
      </c>
      <c r="G145" s="3">
        <v>662</v>
      </c>
      <c r="H145" s="3" t="s">
        <v>146</v>
      </c>
    </row>
    <row r="146" spans="1:8" x14ac:dyDescent="0.25">
      <c r="A146" s="3" t="s">
        <v>294</v>
      </c>
      <c r="B146" s="13">
        <v>46093</v>
      </c>
      <c r="C146" s="3" t="s">
        <v>96</v>
      </c>
      <c r="D146" t="str">
        <f>INDEX(Products_T[ProductName],MATCH(C146,Products_T[SKU],0))</f>
        <v>Hypo Bleach 1L</v>
      </c>
      <c r="E146" s="3" t="s">
        <v>145</v>
      </c>
      <c r="F146" s="3">
        <v>144</v>
      </c>
      <c r="G146" s="3">
        <v>233</v>
      </c>
      <c r="H146" s="3" t="s">
        <v>146</v>
      </c>
    </row>
    <row r="147" spans="1:8" x14ac:dyDescent="0.25">
      <c r="A147" s="3" t="s">
        <v>295</v>
      </c>
      <c r="B147" s="13">
        <v>46094</v>
      </c>
      <c r="C147" s="3" t="s">
        <v>89</v>
      </c>
      <c r="D147" t="str">
        <f>INDEX(Products_T[ProductName],MATCH(C147,Products_T[SKU],0))</f>
        <v>Nasco Cornflakes 500g</v>
      </c>
      <c r="E147" s="3" t="s">
        <v>145</v>
      </c>
      <c r="F147" s="3">
        <v>136</v>
      </c>
      <c r="G147" s="3">
        <v>370</v>
      </c>
      <c r="H147" s="3" t="s">
        <v>146</v>
      </c>
    </row>
    <row r="148" spans="1:8" x14ac:dyDescent="0.25">
      <c r="A148" s="3" t="s">
        <v>296</v>
      </c>
      <c r="B148" s="13">
        <v>46095</v>
      </c>
      <c r="C148" s="3" t="s">
        <v>85</v>
      </c>
      <c r="D148" t="str">
        <f>INDEX(Products_T[ProductName],MATCH(C148,Products_T[SKU],0))</f>
        <v>Kings Vegetable Oil 1L</v>
      </c>
      <c r="E148" s="3" t="s">
        <v>145</v>
      </c>
      <c r="F148" s="3">
        <v>88</v>
      </c>
      <c r="G148" s="3">
        <v>105</v>
      </c>
      <c r="H148" s="3" t="s">
        <v>146</v>
      </c>
    </row>
    <row r="149" spans="1:8" x14ac:dyDescent="0.25">
      <c r="A149" s="3" t="s">
        <v>297</v>
      </c>
      <c r="B149" s="13">
        <v>46096</v>
      </c>
      <c r="C149" s="3" t="s">
        <v>74</v>
      </c>
      <c r="D149" t="str">
        <f>INDEX(Products_T[ProductName],MATCH(C149,Products_T[SKU],0))</f>
        <v>Always Sanitary Pads</v>
      </c>
      <c r="E149" s="3" t="s">
        <v>177</v>
      </c>
      <c r="F149" s="3">
        <v>183</v>
      </c>
      <c r="G149" s="3">
        <v>62</v>
      </c>
      <c r="H149" s="3" t="s">
        <v>178</v>
      </c>
    </row>
    <row r="150" spans="1:8" x14ac:dyDescent="0.25">
      <c r="A150" s="3" t="s">
        <v>298</v>
      </c>
      <c r="B150" s="13">
        <v>46096</v>
      </c>
      <c r="C150" s="3" t="s">
        <v>81</v>
      </c>
      <c r="D150" t="str">
        <f>INDEX(Products_T[ProductName],MATCH(C150,Products_T[SKU],0))</f>
        <v>Peak Milk Tin 400g</v>
      </c>
      <c r="E150" s="3" t="s">
        <v>177</v>
      </c>
      <c r="F150" s="3">
        <v>202</v>
      </c>
      <c r="G150" s="3">
        <v>334</v>
      </c>
      <c r="H150" s="3" t="s">
        <v>178</v>
      </c>
    </row>
    <row r="151" spans="1:8" x14ac:dyDescent="0.25">
      <c r="A151" s="3" t="s">
        <v>299</v>
      </c>
      <c r="B151" s="13">
        <v>46096</v>
      </c>
      <c r="C151" s="3" t="s">
        <v>94</v>
      </c>
      <c r="D151" t="str">
        <f>INDEX(Products_T[ProductName],MATCH(C151,Products_T[SKU],0))</f>
        <v>Harpic Toilet Cleaner</v>
      </c>
      <c r="E151" s="3" t="s">
        <v>177</v>
      </c>
      <c r="F151" s="3">
        <v>117</v>
      </c>
      <c r="G151" s="3">
        <v>77</v>
      </c>
      <c r="H151" s="3" t="s">
        <v>178</v>
      </c>
    </row>
    <row r="152" spans="1:8" x14ac:dyDescent="0.25">
      <c r="A152" s="3" t="s">
        <v>300</v>
      </c>
      <c r="B152" s="13">
        <v>46097</v>
      </c>
      <c r="C152" s="3" t="s">
        <v>57</v>
      </c>
      <c r="D152" t="str">
        <f>INDEX(Products_T[ProductName],MATCH(C152,Products_T[SKU],0))</f>
        <v>Sprite 1.5L</v>
      </c>
      <c r="E152" s="3" t="s">
        <v>177</v>
      </c>
      <c r="F152" s="3">
        <v>377</v>
      </c>
      <c r="G152" s="3">
        <v>21</v>
      </c>
      <c r="H152" s="3" t="s">
        <v>178</v>
      </c>
    </row>
    <row r="153" spans="1:8" x14ac:dyDescent="0.25">
      <c r="A153" s="3" t="s">
        <v>301</v>
      </c>
      <c r="B153" s="13">
        <v>46097</v>
      </c>
      <c r="C153" s="3" t="s">
        <v>59</v>
      </c>
      <c r="D153" t="str">
        <f>INDEX(Products_T[ProductName],MATCH(C153,Products_T[SKU],0))</f>
        <v>Fanta 1.5L</v>
      </c>
      <c r="E153" s="3" t="s">
        <v>267</v>
      </c>
      <c r="F153" s="3">
        <v>-7</v>
      </c>
      <c r="G153" s="3">
        <v>391</v>
      </c>
      <c r="H153" s="3" t="s">
        <v>268</v>
      </c>
    </row>
    <row r="154" spans="1:8" x14ac:dyDescent="0.25">
      <c r="A154" s="3" t="s">
        <v>302</v>
      </c>
      <c r="B154" s="13">
        <v>46097</v>
      </c>
      <c r="C154" s="3" t="s">
        <v>113</v>
      </c>
      <c r="D154" t="str">
        <f>INDEX(Products_T[ProductName],MATCH(C154,Products_T[SKU],0))</f>
        <v>Phone Screen Protector</v>
      </c>
      <c r="E154" s="3" t="s">
        <v>177</v>
      </c>
      <c r="F154" s="3">
        <v>47</v>
      </c>
      <c r="G154" s="3">
        <v>112</v>
      </c>
      <c r="H154" s="3" t="s">
        <v>178</v>
      </c>
    </row>
    <row r="155" spans="1:8" x14ac:dyDescent="0.25">
      <c r="A155" s="3" t="s">
        <v>303</v>
      </c>
      <c r="B155" s="13">
        <v>46098</v>
      </c>
      <c r="C155" s="3" t="s">
        <v>54</v>
      </c>
      <c r="D155" t="str">
        <f>INDEX(Products_T[ProductName],MATCH(C155,Products_T[SKU],0))</f>
        <v>Coca-Cola 1.5L</v>
      </c>
      <c r="E155" s="3" t="s">
        <v>177</v>
      </c>
      <c r="F155" s="3">
        <v>168</v>
      </c>
      <c r="G155" s="3">
        <v>349</v>
      </c>
      <c r="H155" s="3" t="s">
        <v>178</v>
      </c>
    </row>
    <row r="156" spans="1:8" x14ac:dyDescent="0.25">
      <c r="A156" s="3" t="s">
        <v>304</v>
      </c>
      <c r="B156" s="13">
        <v>46098</v>
      </c>
      <c r="C156" s="3" t="s">
        <v>63</v>
      </c>
      <c r="D156" t="str">
        <f>INDEX(Products_T[ProductName],MATCH(C156,Products_T[SKU],0))</f>
        <v>Malt Drink 33cl</v>
      </c>
      <c r="E156" s="3" t="s">
        <v>177</v>
      </c>
      <c r="F156" s="3">
        <v>227</v>
      </c>
      <c r="G156" s="3">
        <v>109</v>
      </c>
      <c r="H156" s="3" t="s">
        <v>178</v>
      </c>
    </row>
    <row r="157" spans="1:8" x14ac:dyDescent="0.25">
      <c r="A157" s="3" t="s">
        <v>305</v>
      </c>
      <c r="B157" s="13">
        <v>46098</v>
      </c>
      <c r="C157" s="3" t="s">
        <v>76</v>
      </c>
      <c r="D157" t="str">
        <f>INDEX(Products_T[ProductName],MATCH(C157,Products_T[SKU],0))</f>
        <v>Indomie Noodles Carton</v>
      </c>
      <c r="E157" s="3" t="s">
        <v>177</v>
      </c>
      <c r="F157" s="3">
        <v>270</v>
      </c>
      <c r="G157" s="3">
        <v>0</v>
      </c>
      <c r="H157" s="3" t="s">
        <v>178</v>
      </c>
    </row>
    <row r="158" spans="1:8" x14ac:dyDescent="0.25">
      <c r="A158" s="3" t="s">
        <v>306</v>
      </c>
      <c r="B158" s="13">
        <v>46099</v>
      </c>
      <c r="C158" s="3" t="s">
        <v>68</v>
      </c>
      <c r="D158" t="str">
        <f>INDEX(Products_T[ProductName],MATCH(C158,Products_T[SKU],0))</f>
        <v>Dettol Soap 100g</v>
      </c>
      <c r="E158" s="3" t="s">
        <v>177</v>
      </c>
      <c r="F158" s="3">
        <v>180</v>
      </c>
      <c r="G158" s="3">
        <v>96</v>
      </c>
      <c r="H158" s="3" t="s">
        <v>178</v>
      </c>
    </row>
    <row r="159" spans="1:8" x14ac:dyDescent="0.25">
      <c r="A159" s="3" t="s">
        <v>307</v>
      </c>
      <c r="B159" s="13">
        <v>46099</v>
      </c>
      <c r="C159" s="3" t="s">
        <v>107</v>
      </c>
      <c r="D159" t="str">
        <f>INDEX(Products_T[ProductName],MATCH(C159,Products_T[SKU],0))</f>
        <v>Bluetooth Earbuds</v>
      </c>
      <c r="E159" s="3" t="s">
        <v>177</v>
      </c>
      <c r="F159" s="3">
        <v>74</v>
      </c>
      <c r="G159" s="3">
        <v>0</v>
      </c>
      <c r="H159" s="3" t="s">
        <v>178</v>
      </c>
    </row>
    <row r="160" spans="1:8" x14ac:dyDescent="0.25">
      <c r="A160" s="3" t="s">
        <v>308</v>
      </c>
      <c r="B160" s="13">
        <v>46099</v>
      </c>
      <c r="C160" s="3" t="s">
        <v>111</v>
      </c>
      <c r="D160" t="str">
        <f>INDEX(Products_T[ProductName],MATCH(C160,Products_T[SKU],0))</f>
        <v>Power Bank 10000mAh</v>
      </c>
      <c r="E160" s="3" t="s">
        <v>177</v>
      </c>
      <c r="F160" s="3">
        <v>56</v>
      </c>
      <c r="G160" s="3">
        <v>126</v>
      </c>
      <c r="H160" s="3" t="s">
        <v>178</v>
      </c>
    </row>
    <row r="161" spans="1:8" x14ac:dyDescent="0.25">
      <c r="A161" s="3" t="s">
        <v>309</v>
      </c>
      <c r="B161" s="13">
        <v>46100</v>
      </c>
      <c r="C161" s="3" t="s">
        <v>83</v>
      </c>
      <c r="D161" t="str">
        <f>INDEX(Products_T[ProductName],MATCH(C161,Products_T[SKU],0))</f>
        <v>Dangote Pasta 500g</v>
      </c>
      <c r="E161" s="3" t="s">
        <v>177</v>
      </c>
      <c r="F161" s="3">
        <v>233</v>
      </c>
      <c r="G161" s="3">
        <v>10</v>
      </c>
      <c r="H161" s="3" t="s">
        <v>178</v>
      </c>
    </row>
    <row r="162" spans="1:8" x14ac:dyDescent="0.25">
      <c r="A162" s="3" t="s">
        <v>310</v>
      </c>
      <c r="B162" s="13">
        <v>46100</v>
      </c>
      <c r="C162" s="3" t="s">
        <v>85</v>
      </c>
      <c r="D162" t="str">
        <f>INDEX(Products_T[ProductName],MATCH(C162,Products_T[SKU],0))</f>
        <v>Kings Vegetable Oil 1L</v>
      </c>
      <c r="E162" s="3" t="s">
        <v>177</v>
      </c>
      <c r="F162" s="3">
        <v>105</v>
      </c>
      <c r="G162" s="3">
        <v>0</v>
      </c>
      <c r="H162" s="3" t="s">
        <v>178</v>
      </c>
    </row>
    <row r="163" spans="1:8" x14ac:dyDescent="0.25">
      <c r="A163" s="3" t="s">
        <v>311</v>
      </c>
      <c r="B163" s="13">
        <v>46101</v>
      </c>
      <c r="C163" s="3" t="s">
        <v>115</v>
      </c>
      <c r="D163" t="str">
        <f>INDEX(Products_T[ProductName],MATCH(C163,Products_T[SKU],0))</f>
        <v>Wireless Mouse</v>
      </c>
      <c r="E163" s="3" t="s">
        <v>177</v>
      </c>
      <c r="F163" s="3">
        <v>87</v>
      </c>
      <c r="G163" s="3">
        <v>54</v>
      </c>
      <c r="H163" s="3" t="s">
        <v>178</v>
      </c>
    </row>
    <row r="164" spans="1:8" x14ac:dyDescent="0.25">
      <c r="A164" s="3" t="s">
        <v>312</v>
      </c>
      <c r="B164" s="13">
        <v>46102</v>
      </c>
      <c r="C164" s="3" t="s">
        <v>89</v>
      </c>
      <c r="D164" t="str">
        <f>INDEX(Products_T[ProductName],MATCH(C164,Products_T[SKU],0))</f>
        <v>Nasco Cornflakes 500g</v>
      </c>
      <c r="E164" s="3" t="s">
        <v>177</v>
      </c>
      <c r="F164" s="3">
        <v>199</v>
      </c>
      <c r="G164" s="3">
        <v>171</v>
      </c>
      <c r="H164" s="3" t="s">
        <v>178</v>
      </c>
    </row>
    <row r="165" spans="1:8" x14ac:dyDescent="0.25">
      <c r="A165" s="3" t="s">
        <v>313</v>
      </c>
      <c r="B165" s="13">
        <v>46103</v>
      </c>
      <c r="C165" s="3" t="s">
        <v>59</v>
      </c>
      <c r="D165" t="str">
        <f>INDEX(Products_T[ProductName],MATCH(C165,Products_T[SKU],0))</f>
        <v>Fanta 1.5L</v>
      </c>
      <c r="E165" s="3" t="s">
        <v>177</v>
      </c>
      <c r="F165" s="3">
        <v>379</v>
      </c>
      <c r="G165" s="3">
        <v>12</v>
      </c>
      <c r="H165" s="3" t="s">
        <v>178</v>
      </c>
    </row>
    <row r="166" spans="1:8" x14ac:dyDescent="0.25">
      <c r="A166" s="3" t="s">
        <v>314</v>
      </c>
      <c r="B166" s="13">
        <v>46103</v>
      </c>
      <c r="C166" s="3" t="s">
        <v>70</v>
      </c>
      <c r="D166" t="str">
        <f>INDEX(Products_T[ProductName],MATCH(C166,Products_T[SKU],0))</f>
        <v>Sunsilk Shampoo 200ml</v>
      </c>
      <c r="E166" s="3" t="s">
        <v>177</v>
      </c>
      <c r="F166" s="3">
        <v>201</v>
      </c>
      <c r="G166" s="3">
        <v>62</v>
      </c>
      <c r="H166" s="3" t="s">
        <v>178</v>
      </c>
    </row>
    <row r="167" spans="1:8" x14ac:dyDescent="0.25">
      <c r="A167" s="3" t="s">
        <v>315</v>
      </c>
      <c r="B167" s="13">
        <v>46103</v>
      </c>
      <c r="C167" s="3" t="s">
        <v>100</v>
      </c>
      <c r="D167" t="str">
        <f>INDEX(Products_T[ProductName],MATCH(C167,Products_T[SKU],0))</f>
        <v>Ambipur Air Freshener</v>
      </c>
      <c r="E167" s="3" t="s">
        <v>177</v>
      </c>
      <c r="F167" s="3">
        <v>141</v>
      </c>
      <c r="G167" s="3">
        <v>70</v>
      </c>
      <c r="H167" s="3" t="s">
        <v>178</v>
      </c>
    </row>
    <row r="168" spans="1:8" x14ac:dyDescent="0.25">
      <c r="A168" s="3" t="s">
        <v>316</v>
      </c>
      <c r="B168" s="13">
        <v>46103</v>
      </c>
      <c r="C168" s="3" t="s">
        <v>104</v>
      </c>
      <c r="D168" t="str">
        <f>INDEX(Products_T[ProductName],MATCH(C168,Products_T[SKU],0))</f>
        <v>USB-C Charging Cable</v>
      </c>
      <c r="E168" s="3" t="s">
        <v>177</v>
      </c>
      <c r="F168" s="3">
        <v>85</v>
      </c>
      <c r="G168" s="3">
        <v>30</v>
      </c>
      <c r="H168" s="3" t="s">
        <v>178</v>
      </c>
    </row>
    <row r="169" spans="1:8" x14ac:dyDescent="0.25">
      <c r="A169" s="3" t="s">
        <v>317</v>
      </c>
      <c r="B169" s="13">
        <v>46103</v>
      </c>
      <c r="C169" s="3" t="s">
        <v>109</v>
      </c>
      <c r="D169" t="str">
        <f>INDEX(Products_T[ProductName],MATCH(C169,Products_T[SKU],0))</f>
        <v>HDMI Cable 1.5m</v>
      </c>
      <c r="E169" s="3" t="s">
        <v>177</v>
      </c>
      <c r="F169" s="3">
        <v>91</v>
      </c>
      <c r="G169" s="3">
        <v>27</v>
      </c>
      <c r="H169" s="3" t="s">
        <v>178</v>
      </c>
    </row>
    <row r="170" spans="1:8" x14ac:dyDescent="0.25">
      <c r="A170" s="3" t="s">
        <v>318</v>
      </c>
      <c r="B170" s="13">
        <v>46105</v>
      </c>
      <c r="C170" s="3" t="s">
        <v>61</v>
      </c>
      <c r="D170" t="str">
        <f>INDEX(Products_T[ProductName],MATCH(C170,Products_T[SKU],0))</f>
        <v>Bottled Water 75cl</v>
      </c>
      <c r="E170" s="3" t="s">
        <v>177</v>
      </c>
      <c r="F170" s="3">
        <v>303</v>
      </c>
      <c r="G170" s="3">
        <v>359</v>
      </c>
      <c r="H170" s="3" t="s">
        <v>178</v>
      </c>
    </row>
    <row r="171" spans="1:8" x14ac:dyDescent="0.25">
      <c r="A171" s="3" t="s">
        <v>319</v>
      </c>
      <c r="B171" s="13">
        <v>46107</v>
      </c>
      <c r="C171" s="3" t="s">
        <v>79</v>
      </c>
      <c r="D171" t="str">
        <f>INDEX(Products_T[ProductName],MATCH(C171,Products_T[SKU],0))</f>
        <v>Golden Penny Semovita 1kg</v>
      </c>
      <c r="E171" s="3" t="s">
        <v>177</v>
      </c>
      <c r="F171" s="3">
        <v>178</v>
      </c>
      <c r="G171" s="3">
        <v>103</v>
      </c>
      <c r="H171" s="3" t="s">
        <v>178</v>
      </c>
    </row>
    <row r="172" spans="1:8" x14ac:dyDescent="0.25">
      <c r="A172" s="3" t="s">
        <v>320</v>
      </c>
      <c r="B172" s="13">
        <v>46107</v>
      </c>
      <c r="C172" s="3" t="s">
        <v>117</v>
      </c>
      <c r="D172" t="str">
        <f>INDEX(Products_T[ProductName],MATCH(C172,Products_T[SKU],0))</f>
        <v>Extension Socket 4-way</v>
      </c>
      <c r="E172" s="3" t="s">
        <v>177</v>
      </c>
      <c r="F172" s="3">
        <v>59</v>
      </c>
      <c r="G172" s="3">
        <v>62</v>
      </c>
      <c r="H172" s="3" t="s">
        <v>178</v>
      </c>
    </row>
    <row r="173" spans="1:8" x14ac:dyDescent="0.25">
      <c r="A173" s="3" t="s">
        <v>321</v>
      </c>
      <c r="B173" s="13">
        <v>46108</v>
      </c>
      <c r="C173" s="3" t="s">
        <v>89</v>
      </c>
      <c r="D173" t="str">
        <f>INDEX(Products_T[ProductName],MATCH(C173,Products_T[SKU],0))</f>
        <v>Nasco Cornflakes 500g</v>
      </c>
      <c r="E173" s="3" t="s">
        <v>267</v>
      </c>
      <c r="F173" s="3">
        <v>-9</v>
      </c>
      <c r="G173" s="3">
        <v>162</v>
      </c>
      <c r="H173" s="3" t="s">
        <v>268</v>
      </c>
    </row>
    <row r="174" spans="1:8" x14ac:dyDescent="0.25">
      <c r="A174" s="3" t="s">
        <v>322</v>
      </c>
      <c r="B174" s="13">
        <v>46108</v>
      </c>
      <c r="C174" s="3" t="s">
        <v>91</v>
      </c>
      <c r="D174" t="str">
        <f>INDEX(Products_T[ProductName],MATCH(C174,Products_T[SKU],0))</f>
        <v>Omo Detergent 900g</v>
      </c>
      <c r="E174" s="3" t="s">
        <v>177</v>
      </c>
      <c r="F174" s="3">
        <v>225</v>
      </c>
      <c r="G174" s="3">
        <v>66</v>
      </c>
      <c r="H174" s="3" t="s">
        <v>178</v>
      </c>
    </row>
    <row r="175" spans="1:8" x14ac:dyDescent="0.25">
      <c r="A175" s="3" t="s">
        <v>323</v>
      </c>
      <c r="B175" s="13">
        <v>46109</v>
      </c>
      <c r="C175" s="3" t="s">
        <v>72</v>
      </c>
      <c r="D175" t="str">
        <f>INDEX(Products_T[ProductName],MATCH(C175,Products_T[SKU],0))</f>
        <v>Vaseline Lotion 400ml</v>
      </c>
      <c r="E175" s="3" t="s">
        <v>177</v>
      </c>
      <c r="F175" s="3">
        <v>228</v>
      </c>
      <c r="G175" s="3">
        <v>93</v>
      </c>
      <c r="H175" s="3" t="s">
        <v>178</v>
      </c>
    </row>
    <row r="176" spans="1:8" x14ac:dyDescent="0.25">
      <c r="A176" s="3" t="s">
        <v>324</v>
      </c>
      <c r="B176" s="13">
        <v>46109</v>
      </c>
      <c r="C176" s="3" t="s">
        <v>87</v>
      </c>
      <c r="D176" t="str">
        <f>INDEX(Products_T[ProductName],MATCH(C176,Products_T[SKU],0))</f>
        <v>Titus Sardine Tin</v>
      </c>
      <c r="E176" s="3" t="s">
        <v>177</v>
      </c>
      <c r="F176" s="3">
        <v>150</v>
      </c>
      <c r="G176" s="3">
        <v>95</v>
      </c>
      <c r="H176" s="3" t="s">
        <v>178</v>
      </c>
    </row>
    <row r="177" spans="1:8" x14ac:dyDescent="0.25">
      <c r="A177" s="3" t="s">
        <v>325</v>
      </c>
      <c r="B177" s="13">
        <v>46109</v>
      </c>
      <c r="C177" s="3" t="s">
        <v>96</v>
      </c>
      <c r="D177" t="str">
        <f>INDEX(Products_T[ProductName],MATCH(C177,Products_T[SKU],0))</f>
        <v>Hypo Bleach 1L</v>
      </c>
      <c r="E177" s="3" t="s">
        <v>177</v>
      </c>
      <c r="F177" s="3">
        <v>185</v>
      </c>
      <c r="G177" s="3">
        <v>48</v>
      </c>
      <c r="H177" s="3" t="s">
        <v>178</v>
      </c>
    </row>
    <row r="178" spans="1:8" x14ac:dyDescent="0.25">
      <c r="A178" s="3" t="s">
        <v>326</v>
      </c>
      <c r="B178" s="13">
        <v>46109</v>
      </c>
      <c r="C178" s="3" t="s">
        <v>98</v>
      </c>
      <c r="D178" t="str">
        <f>INDEX(Products_T[ProductName],MATCH(C178,Products_T[SKU],0))</f>
        <v>Sunlight Dishwash Liquid</v>
      </c>
      <c r="E178" s="3" t="s">
        <v>177</v>
      </c>
      <c r="F178" s="3">
        <v>96</v>
      </c>
      <c r="G178" s="3">
        <v>200</v>
      </c>
      <c r="H178" s="3" t="s">
        <v>178</v>
      </c>
    </row>
    <row r="179" spans="1:8" x14ac:dyDescent="0.25">
      <c r="A179" s="3" t="s">
        <v>327</v>
      </c>
      <c r="B179" s="13">
        <v>46115</v>
      </c>
      <c r="C179" s="3" t="s">
        <v>98</v>
      </c>
      <c r="D179" t="str">
        <f>INDEX(Products_T[ProductName],MATCH(C179,Products_T[SKU],0))</f>
        <v>Sunlight Dishwash Liquid</v>
      </c>
      <c r="E179" s="3" t="s">
        <v>145</v>
      </c>
      <c r="F179" s="3">
        <v>138</v>
      </c>
      <c r="G179" s="3">
        <v>338</v>
      </c>
      <c r="H179" s="3" t="s">
        <v>146</v>
      </c>
    </row>
    <row r="180" spans="1:8" x14ac:dyDescent="0.25">
      <c r="A180" s="3" t="s">
        <v>328</v>
      </c>
      <c r="B180" s="13">
        <v>46115</v>
      </c>
      <c r="C180" s="3" t="s">
        <v>111</v>
      </c>
      <c r="D180" t="str">
        <f>INDEX(Products_T[ProductName],MATCH(C180,Products_T[SKU],0))</f>
        <v>Power Bank 10000mAh</v>
      </c>
      <c r="E180" s="3" t="s">
        <v>145</v>
      </c>
      <c r="F180" s="3">
        <v>80</v>
      </c>
      <c r="G180" s="3">
        <v>206</v>
      </c>
      <c r="H180" s="3" t="s">
        <v>146</v>
      </c>
    </row>
    <row r="181" spans="1:8" x14ac:dyDescent="0.25">
      <c r="A181" s="3" t="s">
        <v>329</v>
      </c>
      <c r="B181" s="13">
        <v>46116</v>
      </c>
      <c r="C181" s="3" t="s">
        <v>87</v>
      </c>
      <c r="D181" t="str">
        <f>INDEX(Products_T[ProductName],MATCH(C181,Products_T[SKU],0))</f>
        <v>Titus Sardine Tin</v>
      </c>
      <c r="E181" s="3" t="s">
        <v>145</v>
      </c>
      <c r="F181" s="3">
        <v>173</v>
      </c>
      <c r="G181" s="3">
        <v>268</v>
      </c>
      <c r="H181" s="3" t="s">
        <v>146</v>
      </c>
    </row>
    <row r="182" spans="1:8" x14ac:dyDescent="0.25">
      <c r="A182" s="3" t="s">
        <v>330</v>
      </c>
      <c r="B182" s="13">
        <v>46116</v>
      </c>
      <c r="C182" s="3" t="s">
        <v>91</v>
      </c>
      <c r="D182" t="str">
        <f>INDEX(Products_T[ProductName],MATCH(C182,Products_T[SKU],0))</f>
        <v>Omo Detergent 900g</v>
      </c>
      <c r="E182" s="3" t="s">
        <v>145</v>
      </c>
      <c r="F182" s="3">
        <v>190</v>
      </c>
      <c r="G182" s="3">
        <v>256</v>
      </c>
      <c r="H182" s="3" t="s">
        <v>146</v>
      </c>
    </row>
    <row r="183" spans="1:8" x14ac:dyDescent="0.25">
      <c r="A183" s="3" t="s">
        <v>331</v>
      </c>
      <c r="B183" s="13">
        <v>46117</v>
      </c>
      <c r="C183" s="3" t="s">
        <v>70</v>
      </c>
      <c r="D183" t="str">
        <f>INDEX(Products_T[ProductName],MATCH(C183,Products_T[SKU],0))</f>
        <v>Sunsilk Shampoo 200ml</v>
      </c>
      <c r="E183" s="3" t="s">
        <v>145</v>
      </c>
      <c r="F183" s="3">
        <v>283</v>
      </c>
      <c r="G183" s="3">
        <v>345</v>
      </c>
      <c r="H183" s="3" t="s">
        <v>146</v>
      </c>
    </row>
    <row r="184" spans="1:8" x14ac:dyDescent="0.25">
      <c r="A184" s="3" t="s">
        <v>332</v>
      </c>
      <c r="B184" s="13">
        <v>46117</v>
      </c>
      <c r="C184" s="3" t="s">
        <v>107</v>
      </c>
      <c r="D184" t="str">
        <f>INDEX(Products_T[ProductName],MATCH(C184,Products_T[SKU],0))</f>
        <v>Bluetooth Earbuds</v>
      </c>
      <c r="E184" s="3" t="s">
        <v>145</v>
      </c>
      <c r="F184" s="3">
        <v>85</v>
      </c>
      <c r="G184" s="3">
        <v>85</v>
      </c>
      <c r="H184" s="3" t="s">
        <v>146</v>
      </c>
    </row>
    <row r="185" spans="1:8" x14ac:dyDescent="0.25">
      <c r="A185" s="3" t="s">
        <v>333</v>
      </c>
      <c r="B185" s="13">
        <v>46117</v>
      </c>
      <c r="C185" s="3" t="s">
        <v>113</v>
      </c>
      <c r="D185" t="str">
        <f>INDEX(Products_T[ProductName],MATCH(C185,Products_T[SKU],0))</f>
        <v>Phone Screen Protector</v>
      </c>
      <c r="E185" s="3" t="s">
        <v>145</v>
      </c>
      <c r="F185" s="3">
        <v>68</v>
      </c>
      <c r="G185" s="3">
        <v>180</v>
      </c>
      <c r="H185" s="3" t="s">
        <v>146</v>
      </c>
    </row>
    <row r="186" spans="1:8" x14ac:dyDescent="0.25">
      <c r="A186" s="3" t="s">
        <v>334</v>
      </c>
      <c r="B186" s="13">
        <v>46118</v>
      </c>
      <c r="C186" s="3" t="s">
        <v>59</v>
      </c>
      <c r="D186" t="str">
        <f>INDEX(Products_T[ProductName],MATCH(C186,Products_T[SKU],0))</f>
        <v>Fanta 1.5L</v>
      </c>
      <c r="E186" s="3" t="s">
        <v>145</v>
      </c>
      <c r="F186" s="3">
        <v>427</v>
      </c>
      <c r="G186" s="3">
        <v>439</v>
      </c>
      <c r="H186" s="3" t="s">
        <v>146</v>
      </c>
    </row>
    <row r="187" spans="1:8" x14ac:dyDescent="0.25">
      <c r="A187" s="3" t="s">
        <v>335</v>
      </c>
      <c r="B187" s="13">
        <v>46118</v>
      </c>
      <c r="C187" s="3" t="s">
        <v>72</v>
      </c>
      <c r="D187" t="str">
        <f>INDEX(Products_T[ProductName],MATCH(C187,Products_T[SKU],0))</f>
        <v>Vaseline Lotion 400ml</v>
      </c>
      <c r="E187" s="3" t="s">
        <v>145</v>
      </c>
      <c r="F187" s="3">
        <v>246</v>
      </c>
      <c r="G187" s="3">
        <v>339</v>
      </c>
      <c r="H187" s="3" t="s">
        <v>146</v>
      </c>
    </row>
    <row r="188" spans="1:8" x14ac:dyDescent="0.25">
      <c r="A188" s="3" t="s">
        <v>336</v>
      </c>
      <c r="B188" s="13">
        <v>46119</v>
      </c>
      <c r="C188" s="3" t="s">
        <v>104</v>
      </c>
      <c r="D188" t="str">
        <f>INDEX(Products_T[ProductName],MATCH(C188,Products_T[SKU],0))</f>
        <v>USB-C Charging Cable</v>
      </c>
      <c r="E188" s="3" t="s">
        <v>145</v>
      </c>
      <c r="F188" s="3">
        <v>62</v>
      </c>
      <c r="G188" s="3">
        <v>92</v>
      </c>
      <c r="H188" s="3" t="s">
        <v>146</v>
      </c>
    </row>
    <row r="189" spans="1:8" x14ac:dyDescent="0.25">
      <c r="A189" s="3" t="s">
        <v>337</v>
      </c>
      <c r="B189" s="13">
        <v>46119</v>
      </c>
      <c r="C189" s="3" t="s">
        <v>109</v>
      </c>
      <c r="D189" t="str">
        <f>INDEX(Products_T[ProductName],MATCH(C189,Products_T[SKU],0))</f>
        <v>HDMI Cable 1.5m</v>
      </c>
      <c r="E189" s="3" t="s">
        <v>145</v>
      </c>
      <c r="F189" s="3">
        <v>97</v>
      </c>
      <c r="G189" s="3">
        <v>124</v>
      </c>
      <c r="H189" s="3" t="s">
        <v>146</v>
      </c>
    </row>
    <row r="190" spans="1:8" x14ac:dyDescent="0.25">
      <c r="A190" s="3" t="s">
        <v>338</v>
      </c>
      <c r="B190" s="13">
        <v>46120</v>
      </c>
      <c r="C190" s="3" t="s">
        <v>61</v>
      </c>
      <c r="D190" t="str">
        <f>INDEX(Products_T[ProductName],MATCH(C190,Products_T[SKU],0))</f>
        <v>Bottled Water 75cl</v>
      </c>
      <c r="E190" s="3" t="s">
        <v>145</v>
      </c>
      <c r="F190" s="3">
        <v>264</v>
      </c>
      <c r="G190" s="3">
        <v>623</v>
      </c>
      <c r="H190" s="3" t="s">
        <v>146</v>
      </c>
    </row>
    <row r="191" spans="1:8" x14ac:dyDescent="0.25">
      <c r="A191" s="3" t="s">
        <v>339</v>
      </c>
      <c r="B191" s="13">
        <v>46120</v>
      </c>
      <c r="C191" s="3" t="s">
        <v>74</v>
      </c>
      <c r="D191" t="str">
        <f>INDEX(Products_T[ProductName],MATCH(C191,Products_T[SKU],0))</f>
        <v>Always Sanitary Pads</v>
      </c>
      <c r="E191" s="3" t="s">
        <v>145</v>
      </c>
      <c r="F191" s="3">
        <v>133</v>
      </c>
      <c r="G191" s="3">
        <v>195</v>
      </c>
      <c r="H191" s="3" t="s">
        <v>146</v>
      </c>
    </row>
    <row r="192" spans="1:8" x14ac:dyDescent="0.25">
      <c r="A192" s="3" t="s">
        <v>340</v>
      </c>
      <c r="B192" s="13">
        <v>46120</v>
      </c>
      <c r="C192" s="3" t="s">
        <v>79</v>
      </c>
      <c r="D192" t="str">
        <f>INDEX(Products_T[ProductName],MATCH(C192,Products_T[SKU],0))</f>
        <v>Golden Penny Semovita 1kg</v>
      </c>
      <c r="E192" s="3" t="s">
        <v>145</v>
      </c>
      <c r="F192" s="3">
        <v>196</v>
      </c>
      <c r="G192" s="3">
        <v>299</v>
      </c>
      <c r="H192" s="3" t="s">
        <v>146</v>
      </c>
    </row>
    <row r="193" spans="1:8" x14ac:dyDescent="0.25">
      <c r="A193" s="3" t="s">
        <v>341</v>
      </c>
      <c r="B193" s="13">
        <v>46120</v>
      </c>
      <c r="C193" s="3" t="s">
        <v>83</v>
      </c>
      <c r="D193" t="str">
        <f>INDEX(Products_T[ProductName],MATCH(C193,Products_T[SKU],0))</f>
        <v>Dangote Pasta 500g</v>
      </c>
      <c r="E193" s="3" t="s">
        <v>145</v>
      </c>
      <c r="F193" s="3">
        <v>158</v>
      </c>
      <c r="G193" s="3">
        <v>168</v>
      </c>
      <c r="H193" s="3" t="s">
        <v>146</v>
      </c>
    </row>
    <row r="194" spans="1:8" x14ac:dyDescent="0.25">
      <c r="A194" s="3" t="s">
        <v>342</v>
      </c>
      <c r="B194" s="13">
        <v>46121</v>
      </c>
      <c r="C194" s="3" t="s">
        <v>76</v>
      </c>
      <c r="D194" t="str">
        <f>INDEX(Products_T[ProductName],MATCH(C194,Products_T[SKU],0))</f>
        <v>Indomie Noodles Carton</v>
      </c>
      <c r="E194" s="3" t="s">
        <v>145</v>
      </c>
      <c r="F194" s="3">
        <v>206</v>
      </c>
      <c r="G194" s="3">
        <v>206</v>
      </c>
      <c r="H194" s="3" t="s">
        <v>146</v>
      </c>
    </row>
    <row r="195" spans="1:8" x14ac:dyDescent="0.25">
      <c r="A195" s="3" t="s">
        <v>343</v>
      </c>
      <c r="B195" s="13">
        <v>46121</v>
      </c>
      <c r="C195" s="3" t="s">
        <v>85</v>
      </c>
      <c r="D195" t="str">
        <f>INDEX(Products_T[ProductName],MATCH(C195,Products_T[SKU],0))</f>
        <v>Kings Vegetable Oil 1L</v>
      </c>
      <c r="E195" s="3" t="s">
        <v>145</v>
      </c>
      <c r="F195" s="3">
        <v>105</v>
      </c>
      <c r="G195" s="3">
        <v>105</v>
      </c>
      <c r="H195" s="3" t="s">
        <v>146</v>
      </c>
    </row>
    <row r="196" spans="1:8" x14ac:dyDescent="0.25">
      <c r="A196" s="3" t="s">
        <v>344</v>
      </c>
      <c r="B196" s="13">
        <v>46121</v>
      </c>
      <c r="C196" s="3" t="s">
        <v>100</v>
      </c>
      <c r="D196" t="str">
        <f>INDEX(Products_T[ProductName],MATCH(C196,Products_T[SKU],0))</f>
        <v>Ambipur Air Freshener</v>
      </c>
      <c r="E196" s="3" t="s">
        <v>145</v>
      </c>
      <c r="F196" s="3">
        <v>134</v>
      </c>
      <c r="G196" s="3">
        <v>204</v>
      </c>
      <c r="H196" s="3" t="s">
        <v>146</v>
      </c>
    </row>
    <row r="197" spans="1:8" x14ac:dyDescent="0.25">
      <c r="A197" s="3" t="s">
        <v>345</v>
      </c>
      <c r="B197" s="13">
        <v>46122</v>
      </c>
      <c r="C197" s="3" t="s">
        <v>94</v>
      </c>
      <c r="D197" t="str">
        <f>INDEX(Products_T[ProductName],MATCH(C197,Products_T[SKU],0))</f>
        <v>Harpic Toilet Cleaner</v>
      </c>
      <c r="E197" s="3" t="s">
        <v>145</v>
      </c>
      <c r="F197" s="3">
        <v>116</v>
      </c>
      <c r="G197" s="3">
        <v>193</v>
      </c>
      <c r="H197" s="3" t="s">
        <v>146</v>
      </c>
    </row>
    <row r="198" spans="1:8" x14ac:dyDescent="0.25">
      <c r="A198" s="3" t="s">
        <v>346</v>
      </c>
      <c r="B198" s="13">
        <v>46122</v>
      </c>
      <c r="C198" s="3" t="s">
        <v>117</v>
      </c>
      <c r="D198" t="str">
        <f>INDEX(Products_T[ProductName],MATCH(C198,Products_T[SKU],0))</f>
        <v>Extension Socket 4-way</v>
      </c>
      <c r="E198" s="3" t="s">
        <v>145</v>
      </c>
      <c r="F198" s="3">
        <v>46</v>
      </c>
      <c r="G198" s="3">
        <v>108</v>
      </c>
      <c r="H198" s="3" t="s">
        <v>146</v>
      </c>
    </row>
    <row r="199" spans="1:8" x14ac:dyDescent="0.25">
      <c r="A199" s="3" t="s">
        <v>347</v>
      </c>
      <c r="B199" s="13">
        <v>46123</v>
      </c>
      <c r="C199" s="3" t="s">
        <v>54</v>
      </c>
      <c r="D199" t="str">
        <f>INDEX(Products_T[ProductName],MATCH(C199,Products_T[SKU],0))</f>
        <v>Coca-Cola 1.5L</v>
      </c>
      <c r="E199" s="3" t="s">
        <v>145</v>
      </c>
      <c r="F199" s="3">
        <v>275</v>
      </c>
      <c r="G199" s="3">
        <v>624</v>
      </c>
      <c r="H199" s="3" t="s">
        <v>146</v>
      </c>
    </row>
    <row r="200" spans="1:8" x14ac:dyDescent="0.25">
      <c r="A200" s="3" t="s">
        <v>348</v>
      </c>
      <c r="B200" s="13">
        <v>46123</v>
      </c>
      <c r="C200" s="3" t="s">
        <v>57</v>
      </c>
      <c r="D200" t="str">
        <f>INDEX(Products_T[ProductName],MATCH(C200,Products_T[SKU],0))</f>
        <v>Sprite 1.5L</v>
      </c>
      <c r="E200" s="3" t="s">
        <v>145</v>
      </c>
      <c r="F200" s="3">
        <v>260</v>
      </c>
      <c r="G200" s="3">
        <v>281</v>
      </c>
      <c r="H200" s="3" t="s">
        <v>146</v>
      </c>
    </row>
    <row r="201" spans="1:8" x14ac:dyDescent="0.25">
      <c r="A201" s="3" t="s">
        <v>349</v>
      </c>
      <c r="B201" s="13">
        <v>46123</v>
      </c>
      <c r="C201" s="3" t="s">
        <v>68</v>
      </c>
      <c r="D201" t="str">
        <f>INDEX(Products_T[ProductName],MATCH(C201,Products_T[SKU],0))</f>
        <v>Dettol Soap 100g</v>
      </c>
      <c r="E201" s="3" t="s">
        <v>145</v>
      </c>
      <c r="F201" s="3">
        <v>170</v>
      </c>
      <c r="G201" s="3">
        <v>266</v>
      </c>
      <c r="H201" s="3" t="s">
        <v>146</v>
      </c>
    </row>
    <row r="202" spans="1:8" x14ac:dyDescent="0.25">
      <c r="A202" s="3" t="s">
        <v>350</v>
      </c>
      <c r="B202" s="13">
        <v>46125</v>
      </c>
      <c r="C202" s="3" t="s">
        <v>63</v>
      </c>
      <c r="D202" t="str">
        <f>INDEX(Products_T[ProductName],MATCH(C202,Products_T[SKU],0))</f>
        <v>Malt Drink 33cl</v>
      </c>
      <c r="E202" s="3" t="s">
        <v>145</v>
      </c>
      <c r="F202" s="3">
        <v>222</v>
      </c>
      <c r="G202" s="3">
        <v>331</v>
      </c>
      <c r="H202" s="3" t="s">
        <v>146</v>
      </c>
    </row>
    <row r="203" spans="1:8" x14ac:dyDescent="0.25">
      <c r="A203" s="3" t="s">
        <v>351</v>
      </c>
      <c r="B203" s="13">
        <v>46125</v>
      </c>
      <c r="C203" s="3" t="s">
        <v>96</v>
      </c>
      <c r="D203" t="str">
        <f>INDEX(Products_T[ProductName],MATCH(C203,Products_T[SKU],0))</f>
        <v>Hypo Bleach 1L</v>
      </c>
      <c r="E203" s="3" t="s">
        <v>145</v>
      </c>
      <c r="F203" s="3">
        <v>144</v>
      </c>
      <c r="G203" s="3">
        <v>192</v>
      </c>
      <c r="H203" s="3" t="s">
        <v>146</v>
      </c>
    </row>
    <row r="204" spans="1:8" x14ac:dyDescent="0.25">
      <c r="A204" s="3" t="s">
        <v>352</v>
      </c>
      <c r="B204" s="13">
        <v>46126</v>
      </c>
      <c r="C204" s="3" t="s">
        <v>81</v>
      </c>
      <c r="D204" t="str">
        <f>INDEX(Products_T[ProductName],MATCH(C204,Products_T[SKU],0))</f>
        <v>Peak Milk Tin 400g</v>
      </c>
      <c r="E204" s="3" t="s">
        <v>145</v>
      </c>
      <c r="F204" s="3">
        <v>270</v>
      </c>
      <c r="G204" s="3">
        <v>604</v>
      </c>
      <c r="H204" s="3" t="s">
        <v>146</v>
      </c>
    </row>
    <row r="205" spans="1:8" x14ac:dyDescent="0.25">
      <c r="A205" s="3" t="s">
        <v>353</v>
      </c>
      <c r="B205" s="13">
        <v>46126</v>
      </c>
      <c r="C205" s="3" t="s">
        <v>115</v>
      </c>
      <c r="D205" t="str">
        <f>INDEX(Products_T[ProductName],MATCH(C205,Products_T[SKU],0))</f>
        <v>Wireless Mouse</v>
      </c>
      <c r="E205" s="3" t="s">
        <v>145</v>
      </c>
      <c r="F205" s="3">
        <v>119</v>
      </c>
      <c r="G205" s="3">
        <v>173</v>
      </c>
      <c r="H205" s="3" t="s">
        <v>146</v>
      </c>
    </row>
    <row r="206" spans="1:8" x14ac:dyDescent="0.25">
      <c r="A206" s="3" t="s">
        <v>354</v>
      </c>
      <c r="B206" s="13">
        <v>46127</v>
      </c>
      <c r="C206" s="3" t="s">
        <v>72</v>
      </c>
      <c r="D206" t="str">
        <f>INDEX(Products_T[ProductName],MATCH(C206,Products_T[SKU],0))</f>
        <v>Vaseline Lotion 400ml</v>
      </c>
      <c r="E206" s="3" t="s">
        <v>177</v>
      </c>
      <c r="F206" s="3">
        <v>310</v>
      </c>
      <c r="G206" s="3">
        <v>29</v>
      </c>
      <c r="H206" s="3" t="s">
        <v>178</v>
      </c>
    </row>
    <row r="207" spans="1:8" x14ac:dyDescent="0.25">
      <c r="A207" s="3" t="s">
        <v>355</v>
      </c>
      <c r="B207" s="13">
        <v>46127</v>
      </c>
      <c r="C207" s="3" t="s">
        <v>79</v>
      </c>
      <c r="D207" t="str">
        <f>INDEX(Products_T[ProductName],MATCH(C207,Products_T[SKU],0))</f>
        <v>Golden Penny Semovita 1kg</v>
      </c>
      <c r="E207" s="3" t="s">
        <v>177</v>
      </c>
      <c r="F207" s="3">
        <v>232</v>
      </c>
      <c r="G207" s="3">
        <v>67</v>
      </c>
      <c r="H207" s="3" t="s">
        <v>178</v>
      </c>
    </row>
    <row r="208" spans="1:8" x14ac:dyDescent="0.25">
      <c r="A208" s="3" t="s">
        <v>356</v>
      </c>
      <c r="B208" s="13">
        <v>46128</v>
      </c>
      <c r="C208" s="3" t="s">
        <v>54</v>
      </c>
      <c r="D208" t="str">
        <f>INDEX(Products_T[ProductName],MATCH(C208,Products_T[SKU],0))</f>
        <v>Coca-Cola 1.5L</v>
      </c>
      <c r="E208" s="3" t="s">
        <v>177</v>
      </c>
      <c r="F208" s="3">
        <v>169</v>
      </c>
      <c r="G208" s="3">
        <v>455</v>
      </c>
      <c r="H208" s="3" t="s">
        <v>178</v>
      </c>
    </row>
    <row r="209" spans="1:8" x14ac:dyDescent="0.25">
      <c r="A209" s="3" t="s">
        <v>357</v>
      </c>
      <c r="B209" s="13">
        <v>46128</v>
      </c>
      <c r="C209" s="3" t="s">
        <v>76</v>
      </c>
      <c r="D209" t="str">
        <f>INDEX(Products_T[ProductName],MATCH(C209,Products_T[SKU],0))</f>
        <v>Indomie Noodles Carton</v>
      </c>
      <c r="E209" s="3" t="s">
        <v>177</v>
      </c>
      <c r="F209" s="3">
        <v>206</v>
      </c>
      <c r="G209" s="3">
        <v>0</v>
      </c>
      <c r="H209" s="3" t="s">
        <v>178</v>
      </c>
    </row>
    <row r="210" spans="1:8" x14ac:dyDescent="0.25">
      <c r="A210" s="3" t="s">
        <v>358</v>
      </c>
      <c r="B210" s="13">
        <v>46129</v>
      </c>
      <c r="C210" s="3" t="s">
        <v>61</v>
      </c>
      <c r="D210" t="str">
        <f>INDEX(Products_T[ProductName],MATCH(C210,Products_T[SKU],0))</f>
        <v>Bottled Water 75cl</v>
      </c>
      <c r="E210" s="3" t="s">
        <v>177</v>
      </c>
      <c r="F210" s="3">
        <v>179</v>
      </c>
      <c r="G210" s="3">
        <v>444</v>
      </c>
      <c r="H210" s="3" t="s">
        <v>178</v>
      </c>
    </row>
    <row r="211" spans="1:8" x14ac:dyDescent="0.25">
      <c r="A211" s="3" t="s">
        <v>359</v>
      </c>
      <c r="B211" s="13">
        <v>46129</v>
      </c>
      <c r="C211" s="3" t="s">
        <v>81</v>
      </c>
      <c r="D211" t="str">
        <f>INDEX(Products_T[ProductName],MATCH(C211,Products_T[SKU],0))</f>
        <v>Peak Milk Tin 400g</v>
      </c>
      <c r="E211" s="3" t="s">
        <v>177</v>
      </c>
      <c r="F211" s="3">
        <v>198</v>
      </c>
      <c r="G211" s="3">
        <v>406</v>
      </c>
      <c r="H211" s="3" t="s">
        <v>178</v>
      </c>
    </row>
    <row r="212" spans="1:8" x14ac:dyDescent="0.25">
      <c r="A212" s="3" t="s">
        <v>360</v>
      </c>
      <c r="B212" s="13">
        <v>46129</v>
      </c>
      <c r="C212" s="3" t="s">
        <v>85</v>
      </c>
      <c r="D212" t="str">
        <f>INDEX(Products_T[ProductName],MATCH(C212,Products_T[SKU],0))</f>
        <v>Kings Vegetable Oil 1L</v>
      </c>
      <c r="E212" s="3" t="s">
        <v>177</v>
      </c>
      <c r="F212" s="3">
        <v>74</v>
      </c>
      <c r="G212" s="3">
        <v>31</v>
      </c>
      <c r="H212" s="3" t="s">
        <v>178</v>
      </c>
    </row>
    <row r="213" spans="1:8" x14ac:dyDescent="0.25">
      <c r="A213" s="3" t="s">
        <v>361</v>
      </c>
      <c r="B213" s="13">
        <v>46129</v>
      </c>
      <c r="C213" s="3" t="s">
        <v>87</v>
      </c>
      <c r="D213" t="str">
        <f>INDEX(Products_T[ProductName],MATCH(C213,Products_T[SKU],0))</f>
        <v>Titus Sardine Tin</v>
      </c>
      <c r="E213" s="3" t="s">
        <v>177</v>
      </c>
      <c r="F213" s="3">
        <v>147</v>
      </c>
      <c r="G213" s="3">
        <v>121</v>
      </c>
      <c r="H213" s="3" t="s">
        <v>178</v>
      </c>
    </row>
    <row r="214" spans="1:8" x14ac:dyDescent="0.25">
      <c r="A214" s="3" t="s">
        <v>362</v>
      </c>
      <c r="B214" s="13">
        <v>46129</v>
      </c>
      <c r="C214" s="3" t="s">
        <v>107</v>
      </c>
      <c r="D214" t="str">
        <f>INDEX(Products_T[ProductName],MATCH(C214,Products_T[SKU],0))</f>
        <v>Bluetooth Earbuds</v>
      </c>
      <c r="E214" s="3" t="s">
        <v>177</v>
      </c>
      <c r="F214" s="3">
        <v>62</v>
      </c>
      <c r="G214" s="3">
        <v>23</v>
      </c>
      <c r="H214" s="3" t="s">
        <v>178</v>
      </c>
    </row>
    <row r="215" spans="1:8" x14ac:dyDescent="0.25">
      <c r="A215" s="3" t="s">
        <v>363</v>
      </c>
      <c r="B215" s="13">
        <v>46131</v>
      </c>
      <c r="C215" s="3" t="s">
        <v>63</v>
      </c>
      <c r="D215" t="str">
        <f>INDEX(Products_T[ProductName],MATCH(C215,Products_T[SKU],0))</f>
        <v>Malt Drink 33cl</v>
      </c>
      <c r="E215" s="3" t="s">
        <v>177</v>
      </c>
      <c r="F215" s="3">
        <v>331</v>
      </c>
      <c r="G215" s="3">
        <v>0</v>
      </c>
      <c r="H215" s="3" t="s">
        <v>178</v>
      </c>
    </row>
    <row r="216" spans="1:8" x14ac:dyDescent="0.25">
      <c r="A216" s="3" t="s">
        <v>364</v>
      </c>
      <c r="B216" s="13">
        <v>46131</v>
      </c>
      <c r="C216" s="3" t="s">
        <v>94</v>
      </c>
      <c r="D216" t="str">
        <f>INDEX(Products_T[ProductName],MATCH(C216,Products_T[SKU],0))</f>
        <v>Harpic Toilet Cleaner</v>
      </c>
      <c r="E216" s="3" t="s">
        <v>177</v>
      </c>
      <c r="F216" s="3">
        <v>175</v>
      </c>
      <c r="G216" s="3">
        <v>18</v>
      </c>
      <c r="H216" s="3" t="s">
        <v>178</v>
      </c>
    </row>
    <row r="217" spans="1:8" x14ac:dyDescent="0.25">
      <c r="A217" s="3" t="s">
        <v>365</v>
      </c>
      <c r="B217" s="13">
        <v>46131</v>
      </c>
      <c r="C217" s="3" t="s">
        <v>98</v>
      </c>
      <c r="D217" t="str">
        <f>INDEX(Products_T[ProductName],MATCH(C217,Products_T[SKU],0))</f>
        <v>Sunlight Dishwash Liquid</v>
      </c>
      <c r="E217" s="3" t="s">
        <v>177</v>
      </c>
      <c r="F217" s="3">
        <v>111</v>
      </c>
      <c r="G217" s="3">
        <v>227</v>
      </c>
      <c r="H217" s="3" t="s">
        <v>178</v>
      </c>
    </row>
    <row r="218" spans="1:8" x14ac:dyDescent="0.25">
      <c r="A218" s="3" t="s">
        <v>366</v>
      </c>
      <c r="B218" s="13">
        <v>46132</v>
      </c>
      <c r="C218" s="3" t="s">
        <v>100</v>
      </c>
      <c r="D218" t="str">
        <f>INDEX(Products_T[ProductName],MATCH(C218,Products_T[SKU],0))</f>
        <v>Ambipur Air Freshener</v>
      </c>
      <c r="E218" s="3" t="s">
        <v>177</v>
      </c>
      <c r="F218" s="3">
        <v>204</v>
      </c>
      <c r="G218" s="3">
        <v>0</v>
      </c>
      <c r="H218" s="3" t="s">
        <v>178</v>
      </c>
    </row>
    <row r="219" spans="1:8" x14ac:dyDescent="0.25">
      <c r="A219" s="3" t="s">
        <v>367</v>
      </c>
      <c r="B219" s="13">
        <v>46132</v>
      </c>
      <c r="C219" s="3" t="s">
        <v>109</v>
      </c>
      <c r="D219" t="str">
        <f>INDEX(Products_T[ProductName],MATCH(C219,Products_T[SKU],0))</f>
        <v>HDMI Cable 1.5m</v>
      </c>
      <c r="E219" s="3" t="s">
        <v>177</v>
      </c>
      <c r="F219" s="3">
        <v>70</v>
      </c>
      <c r="G219" s="3">
        <v>54</v>
      </c>
      <c r="H219" s="3" t="s">
        <v>178</v>
      </c>
    </row>
    <row r="220" spans="1:8" x14ac:dyDescent="0.25">
      <c r="A220" s="3" t="s">
        <v>368</v>
      </c>
      <c r="B220" s="13">
        <v>46132</v>
      </c>
      <c r="C220" s="3" t="s">
        <v>113</v>
      </c>
      <c r="D220" t="str">
        <f>INDEX(Products_T[ProductName],MATCH(C220,Products_T[SKU],0))</f>
        <v>Phone Screen Protector</v>
      </c>
      <c r="E220" s="3" t="s">
        <v>177</v>
      </c>
      <c r="F220" s="3">
        <v>41</v>
      </c>
      <c r="G220" s="3">
        <v>139</v>
      </c>
      <c r="H220" s="3" t="s">
        <v>178</v>
      </c>
    </row>
    <row r="221" spans="1:8" x14ac:dyDescent="0.25">
      <c r="A221" s="3" t="s">
        <v>369</v>
      </c>
      <c r="B221" s="13">
        <v>46133</v>
      </c>
      <c r="C221" s="3" t="s">
        <v>57</v>
      </c>
      <c r="D221" t="str">
        <f>INDEX(Products_T[ProductName],MATCH(C221,Products_T[SKU],0))</f>
        <v>Sprite 1.5L</v>
      </c>
      <c r="E221" s="3" t="s">
        <v>177</v>
      </c>
      <c r="F221" s="3">
        <v>281</v>
      </c>
      <c r="G221" s="3">
        <v>0</v>
      </c>
      <c r="H221" s="3" t="s">
        <v>178</v>
      </c>
    </row>
    <row r="222" spans="1:8" x14ac:dyDescent="0.25">
      <c r="A222" s="3" t="s">
        <v>370</v>
      </c>
      <c r="B222" s="13">
        <v>46133</v>
      </c>
      <c r="C222" s="3" t="s">
        <v>70</v>
      </c>
      <c r="D222" t="str">
        <f>INDEX(Products_T[ProductName],MATCH(C222,Products_T[SKU],0))</f>
        <v>Sunsilk Shampoo 200ml</v>
      </c>
      <c r="E222" s="3" t="s">
        <v>177</v>
      </c>
      <c r="F222" s="3">
        <v>226</v>
      </c>
      <c r="G222" s="3">
        <v>119</v>
      </c>
      <c r="H222" s="3" t="s">
        <v>178</v>
      </c>
    </row>
    <row r="223" spans="1:8" x14ac:dyDescent="0.25">
      <c r="A223" s="3" t="s">
        <v>371</v>
      </c>
      <c r="B223" s="13">
        <v>46134</v>
      </c>
      <c r="C223" s="3" t="s">
        <v>68</v>
      </c>
      <c r="D223" t="str">
        <f>INDEX(Products_T[ProductName],MATCH(C223,Products_T[SKU],0))</f>
        <v>Dettol Soap 100g</v>
      </c>
      <c r="E223" s="3" t="s">
        <v>177</v>
      </c>
      <c r="F223" s="3">
        <v>130</v>
      </c>
      <c r="G223" s="3">
        <v>136</v>
      </c>
      <c r="H223" s="3" t="s">
        <v>178</v>
      </c>
    </row>
    <row r="224" spans="1:8" x14ac:dyDescent="0.25">
      <c r="A224" s="3" t="s">
        <v>372</v>
      </c>
      <c r="B224" s="13">
        <v>46134</v>
      </c>
      <c r="C224" s="3" t="s">
        <v>115</v>
      </c>
      <c r="D224" t="str">
        <f>INDEX(Products_T[ProductName],MATCH(C224,Products_T[SKU],0))</f>
        <v>Wireless Mouse</v>
      </c>
      <c r="E224" s="3" t="s">
        <v>177</v>
      </c>
      <c r="F224" s="3">
        <v>73</v>
      </c>
      <c r="G224" s="3">
        <v>100</v>
      </c>
      <c r="H224" s="3" t="s">
        <v>178</v>
      </c>
    </row>
    <row r="225" spans="1:8" x14ac:dyDescent="0.25">
      <c r="A225" s="3" t="s">
        <v>373</v>
      </c>
      <c r="B225" s="13">
        <v>46135</v>
      </c>
      <c r="C225" s="3" t="s">
        <v>96</v>
      </c>
      <c r="D225" t="str">
        <f>INDEX(Products_T[ProductName],MATCH(C225,Products_T[SKU],0))</f>
        <v>Hypo Bleach 1L</v>
      </c>
      <c r="E225" s="3" t="s">
        <v>177</v>
      </c>
      <c r="F225" s="3">
        <v>192</v>
      </c>
      <c r="G225" s="3">
        <v>0</v>
      </c>
      <c r="H225" s="3" t="s">
        <v>178</v>
      </c>
    </row>
    <row r="226" spans="1:8" x14ac:dyDescent="0.25">
      <c r="A226" s="3" t="s">
        <v>374</v>
      </c>
      <c r="B226" s="13">
        <v>46136</v>
      </c>
      <c r="C226" s="3" t="s">
        <v>104</v>
      </c>
      <c r="D226" t="str">
        <f>INDEX(Products_T[ProductName],MATCH(C226,Products_T[SKU],0))</f>
        <v>USB-C Charging Cable</v>
      </c>
      <c r="E226" s="3" t="s">
        <v>177</v>
      </c>
      <c r="F226" s="3">
        <v>86</v>
      </c>
      <c r="G226" s="3">
        <v>6</v>
      </c>
      <c r="H226" s="3" t="s">
        <v>178</v>
      </c>
    </row>
    <row r="227" spans="1:8" x14ac:dyDescent="0.25">
      <c r="A227" s="3" t="s">
        <v>375</v>
      </c>
      <c r="B227" s="13">
        <v>46137</v>
      </c>
      <c r="C227" s="3" t="s">
        <v>74</v>
      </c>
      <c r="D227" t="str">
        <f>INDEX(Products_T[ProductName],MATCH(C227,Products_T[SKU],0))</f>
        <v>Always Sanitary Pads</v>
      </c>
      <c r="E227" s="3" t="s">
        <v>177</v>
      </c>
      <c r="F227" s="3">
        <v>187</v>
      </c>
      <c r="G227" s="3">
        <v>8</v>
      </c>
      <c r="H227" s="3" t="s">
        <v>178</v>
      </c>
    </row>
    <row r="228" spans="1:8" x14ac:dyDescent="0.25">
      <c r="A228" s="3" t="s">
        <v>376</v>
      </c>
      <c r="B228" s="13">
        <v>46138</v>
      </c>
      <c r="C228" s="3" t="s">
        <v>91</v>
      </c>
      <c r="D228" t="str">
        <f>INDEX(Products_T[ProductName],MATCH(C228,Products_T[SKU],0))</f>
        <v>Omo Detergent 900g</v>
      </c>
      <c r="E228" s="3" t="s">
        <v>177</v>
      </c>
      <c r="F228" s="3">
        <v>153</v>
      </c>
      <c r="G228" s="3">
        <v>103</v>
      </c>
      <c r="H228" s="3" t="s">
        <v>178</v>
      </c>
    </row>
    <row r="229" spans="1:8" x14ac:dyDescent="0.25">
      <c r="A229" s="3" t="s">
        <v>377</v>
      </c>
      <c r="B229" s="13">
        <v>46139</v>
      </c>
      <c r="C229" s="3" t="s">
        <v>59</v>
      </c>
      <c r="D229" t="str">
        <f>INDEX(Products_T[ProductName],MATCH(C229,Products_T[SKU],0))</f>
        <v>Fanta 1.5L</v>
      </c>
      <c r="E229" s="3" t="s">
        <v>177</v>
      </c>
      <c r="F229" s="3">
        <v>304</v>
      </c>
      <c r="G229" s="3">
        <v>135</v>
      </c>
      <c r="H229" s="3" t="s">
        <v>178</v>
      </c>
    </row>
    <row r="230" spans="1:8" x14ac:dyDescent="0.25">
      <c r="A230" s="3" t="s">
        <v>378</v>
      </c>
      <c r="B230" s="13">
        <v>46139</v>
      </c>
      <c r="C230" s="3" t="s">
        <v>83</v>
      </c>
      <c r="D230" t="str">
        <f>INDEX(Products_T[ProductName],MATCH(C230,Products_T[SKU],0))</f>
        <v>Dangote Pasta 500g</v>
      </c>
      <c r="E230" s="3" t="s">
        <v>177</v>
      </c>
      <c r="F230" s="3">
        <v>168</v>
      </c>
      <c r="G230" s="3">
        <v>0</v>
      </c>
      <c r="H230" s="3" t="s">
        <v>178</v>
      </c>
    </row>
    <row r="231" spans="1:8" x14ac:dyDescent="0.25">
      <c r="A231" s="3" t="s">
        <v>379</v>
      </c>
      <c r="B231" s="13">
        <v>46139</v>
      </c>
      <c r="C231" s="3" t="s">
        <v>111</v>
      </c>
      <c r="D231" t="str">
        <f>INDEX(Products_T[ProductName],MATCH(C231,Products_T[SKU],0))</f>
        <v>Power Bank 10000mAh</v>
      </c>
      <c r="E231" s="3" t="s">
        <v>177</v>
      </c>
      <c r="F231" s="3">
        <v>60</v>
      </c>
      <c r="G231" s="3">
        <v>146</v>
      </c>
      <c r="H231" s="3" t="s">
        <v>178</v>
      </c>
    </row>
    <row r="232" spans="1:8" x14ac:dyDescent="0.25">
      <c r="A232" s="3" t="s">
        <v>380</v>
      </c>
      <c r="B232" s="13">
        <v>46139</v>
      </c>
      <c r="C232" s="3" t="s">
        <v>117</v>
      </c>
      <c r="D232" t="str">
        <f>INDEX(Products_T[ProductName],MATCH(C232,Products_T[SKU],0))</f>
        <v>Extension Socket 4-way</v>
      </c>
      <c r="E232" s="3" t="s">
        <v>177</v>
      </c>
      <c r="F232" s="3">
        <v>56</v>
      </c>
      <c r="G232" s="3">
        <v>52</v>
      </c>
      <c r="H232" s="3" t="s">
        <v>178</v>
      </c>
    </row>
    <row r="233" spans="1:8" x14ac:dyDescent="0.25">
      <c r="A233" s="3" t="s">
        <v>381</v>
      </c>
      <c r="B233" s="13">
        <v>46145</v>
      </c>
      <c r="C233" s="3" t="s">
        <v>83</v>
      </c>
      <c r="D233" t="str">
        <f>INDEX(Products_T[ProductName],MATCH(C233,Products_T[SKU],0))</f>
        <v>Dangote Pasta 500g</v>
      </c>
      <c r="E233" s="3" t="s">
        <v>145</v>
      </c>
      <c r="F233" s="3">
        <v>223</v>
      </c>
      <c r="G233" s="3">
        <v>223</v>
      </c>
      <c r="H233" s="3" t="s">
        <v>146</v>
      </c>
    </row>
    <row r="234" spans="1:8" x14ac:dyDescent="0.25">
      <c r="A234" s="3" t="s">
        <v>382</v>
      </c>
      <c r="B234" s="13">
        <v>46145</v>
      </c>
      <c r="C234" s="3" t="s">
        <v>85</v>
      </c>
      <c r="D234" t="str">
        <f>INDEX(Products_T[ProductName],MATCH(C234,Products_T[SKU],0))</f>
        <v>Kings Vegetable Oil 1L</v>
      </c>
      <c r="E234" s="3" t="s">
        <v>145</v>
      </c>
      <c r="F234" s="3">
        <v>119</v>
      </c>
      <c r="G234" s="3">
        <v>150</v>
      </c>
      <c r="H234" s="3" t="s">
        <v>146</v>
      </c>
    </row>
    <row r="235" spans="1:8" x14ac:dyDescent="0.25">
      <c r="A235" s="3" t="s">
        <v>383</v>
      </c>
      <c r="B235" s="13">
        <v>46145</v>
      </c>
      <c r="C235" s="3" t="s">
        <v>115</v>
      </c>
      <c r="D235" t="str">
        <f>INDEX(Products_T[ProductName],MATCH(C235,Products_T[SKU],0))</f>
        <v>Wireless Mouse</v>
      </c>
      <c r="E235" s="3" t="s">
        <v>145</v>
      </c>
      <c r="F235" s="3">
        <v>116</v>
      </c>
      <c r="G235" s="3">
        <v>216</v>
      </c>
      <c r="H235" s="3" t="s">
        <v>146</v>
      </c>
    </row>
    <row r="236" spans="1:8" x14ac:dyDescent="0.25">
      <c r="A236" s="3" t="s">
        <v>384</v>
      </c>
      <c r="B236" s="13">
        <v>46146</v>
      </c>
      <c r="C236" s="3" t="s">
        <v>98</v>
      </c>
      <c r="D236" t="str">
        <f>INDEX(Products_T[ProductName],MATCH(C236,Products_T[SKU],0))</f>
        <v>Sunlight Dishwash Liquid</v>
      </c>
      <c r="E236" s="3" t="s">
        <v>145</v>
      </c>
      <c r="F236" s="3">
        <v>128</v>
      </c>
      <c r="G236" s="3">
        <v>355</v>
      </c>
      <c r="H236" s="3" t="s">
        <v>146</v>
      </c>
    </row>
    <row r="237" spans="1:8" x14ac:dyDescent="0.25">
      <c r="A237" s="3" t="s">
        <v>385</v>
      </c>
      <c r="B237" s="13">
        <v>46147</v>
      </c>
      <c r="C237" s="3" t="s">
        <v>57</v>
      </c>
      <c r="D237" t="str">
        <f>INDEX(Products_T[ProductName],MATCH(C237,Products_T[SKU],0))</f>
        <v>Sprite 1.5L</v>
      </c>
      <c r="E237" s="3" t="s">
        <v>145</v>
      </c>
      <c r="F237" s="3">
        <v>257</v>
      </c>
      <c r="G237" s="3">
        <v>257</v>
      </c>
      <c r="H237" s="3" t="s">
        <v>146</v>
      </c>
    </row>
    <row r="238" spans="1:8" x14ac:dyDescent="0.25">
      <c r="A238" s="3" t="s">
        <v>386</v>
      </c>
      <c r="B238" s="13">
        <v>46148</v>
      </c>
      <c r="C238" s="3" t="s">
        <v>113</v>
      </c>
      <c r="D238" t="str">
        <f>INDEX(Products_T[ProductName],MATCH(C238,Products_T[SKU],0))</f>
        <v>Phone Screen Protector</v>
      </c>
      <c r="E238" s="3" t="s">
        <v>145</v>
      </c>
      <c r="F238" s="3">
        <v>40</v>
      </c>
      <c r="G238" s="3">
        <v>179</v>
      </c>
      <c r="H238" s="3" t="s">
        <v>146</v>
      </c>
    </row>
    <row r="239" spans="1:8" x14ac:dyDescent="0.25">
      <c r="A239" s="3" t="s">
        <v>387</v>
      </c>
      <c r="B239" s="13">
        <v>46149</v>
      </c>
      <c r="C239" s="3" t="s">
        <v>59</v>
      </c>
      <c r="D239" t="str">
        <f>INDEX(Products_T[ProductName],MATCH(C239,Products_T[SKU],0))</f>
        <v>Fanta 1.5L</v>
      </c>
      <c r="E239" s="3" t="s">
        <v>145</v>
      </c>
      <c r="F239" s="3">
        <v>279</v>
      </c>
      <c r="G239" s="3">
        <v>414</v>
      </c>
      <c r="H239" s="3" t="s">
        <v>146</v>
      </c>
    </row>
    <row r="240" spans="1:8" x14ac:dyDescent="0.25">
      <c r="A240" s="3" t="s">
        <v>388</v>
      </c>
      <c r="B240" s="13">
        <v>46149</v>
      </c>
      <c r="C240" s="3" t="s">
        <v>72</v>
      </c>
      <c r="D240" t="str">
        <f>INDEX(Products_T[ProductName],MATCH(C240,Products_T[SKU],0))</f>
        <v>Vaseline Lotion 400ml</v>
      </c>
      <c r="E240" s="3" t="s">
        <v>145</v>
      </c>
      <c r="F240" s="3">
        <v>314</v>
      </c>
      <c r="G240" s="3">
        <v>343</v>
      </c>
      <c r="H240" s="3" t="s">
        <v>146</v>
      </c>
    </row>
    <row r="241" spans="1:8" x14ac:dyDescent="0.25">
      <c r="A241" s="3" t="s">
        <v>389</v>
      </c>
      <c r="B241" s="13">
        <v>46149</v>
      </c>
      <c r="C241" s="3" t="s">
        <v>96</v>
      </c>
      <c r="D241" t="str">
        <f>INDEX(Products_T[ProductName],MATCH(C241,Products_T[SKU],0))</f>
        <v>Hypo Bleach 1L</v>
      </c>
      <c r="E241" s="3" t="s">
        <v>145</v>
      </c>
      <c r="F241" s="3">
        <v>193</v>
      </c>
      <c r="G241" s="3">
        <v>193</v>
      </c>
      <c r="H241" s="3" t="s">
        <v>146</v>
      </c>
    </row>
    <row r="242" spans="1:8" x14ac:dyDescent="0.25">
      <c r="A242" s="3" t="s">
        <v>390</v>
      </c>
      <c r="B242" s="13">
        <v>46149</v>
      </c>
      <c r="C242" s="3" t="s">
        <v>100</v>
      </c>
      <c r="D242" t="str">
        <f>INDEX(Products_T[ProductName],MATCH(C242,Products_T[SKU],0))</f>
        <v>Ambipur Air Freshener</v>
      </c>
      <c r="E242" s="3" t="s">
        <v>145</v>
      </c>
      <c r="F242" s="3">
        <v>218</v>
      </c>
      <c r="G242" s="3">
        <v>218</v>
      </c>
      <c r="H242" s="3" t="s">
        <v>146</v>
      </c>
    </row>
    <row r="243" spans="1:8" x14ac:dyDescent="0.25">
      <c r="A243" s="3" t="s">
        <v>391</v>
      </c>
      <c r="B243" s="13">
        <v>46150</v>
      </c>
      <c r="C243" s="3" t="s">
        <v>63</v>
      </c>
      <c r="D243" t="str">
        <f>INDEX(Products_T[ProductName],MATCH(C243,Products_T[SKU],0))</f>
        <v>Malt Drink 33cl</v>
      </c>
      <c r="E243" s="3" t="s">
        <v>145</v>
      </c>
      <c r="F243" s="3">
        <v>248</v>
      </c>
      <c r="G243" s="3">
        <v>248</v>
      </c>
      <c r="H243" s="3" t="s">
        <v>146</v>
      </c>
    </row>
    <row r="244" spans="1:8" x14ac:dyDescent="0.25">
      <c r="A244" s="3" t="s">
        <v>392</v>
      </c>
      <c r="B244" s="13">
        <v>46150</v>
      </c>
      <c r="C244" s="3" t="s">
        <v>68</v>
      </c>
      <c r="D244" t="str">
        <f>INDEX(Products_T[ProductName],MATCH(C244,Products_T[SKU],0))</f>
        <v>Dettol Soap 100g</v>
      </c>
      <c r="E244" s="3" t="s">
        <v>145</v>
      </c>
      <c r="F244" s="3">
        <v>132</v>
      </c>
      <c r="G244" s="3">
        <v>268</v>
      </c>
      <c r="H244" s="3" t="s">
        <v>146</v>
      </c>
    </row>
    <row r="245" spans="1:8" x14ac:dyDescent="0.25">
      <c r="A245" s="3" t="s">
        <v>393</v>
      </c>
      <c r="B245" s="13">
        <v>46150</v>
      </c>
      <c r="C245" s="3" t="s">
        <v>79</v>
      </c>
      <c r="D245" t="str">
        <f>INDEX(Products_T[ProductName],MATCH(C245,Products_T[SKU],0))</f>
        <v>Golden Penny Semovita 1kg</v>
      </c>
      <c r="E245" s="3" t="s">
        <v>145</v>
      </c>
      <c r="F245" s="3">
        <v>259</v>
      </c>
      <c r="G245" s="3">
        <v>326</v>
      </c>
      <c r="H245" s="3" t="s">
        <v>146</v>
      </c>
    </row>
    <row r="246" spans="1:8" x14ac:dyDescent="0.25">
      <c r="A246" s="3" t="s">
        <v>394</v>
      </c>
      <c r="B246" s="13">
        <v>46150</v>
      </c>
      <c r="C246" s="3" t="s">
        <v>104</v>
      </c>
      <c r="D246" t="str">
        <f>INDEX(Products_T[ProductName],MATCH(C246,Products_T[SKU],0))</f>
        <v>USB-C Charging Cable</v>
      </c>
      <c r="E246" s="3" t="s">
        <v>145</v>
      </c>
      <c r="F246" s="3">
        <v>56</v>
      </c>
      <c r="G246" s="3">
        <v>62</v>
      </c>
      <c r="H246" s="3" t="s">
        <v>146</v>
      </c>
    </row>
    <row r="247" spans="1:8" x14ac:dyDescent="0.25">
      <c r="A247" s="3" t="s">
        <v>395</v>
      </c>
      <c r="B247" s="13">
        <v>46151</v>
      </c>
      <c r="C247" s="3" t="s">
        <v>76</v>
      </c>
      <c r="D247" t="str">
        <f>INDEX(Products_T[ProductName],MATCH(C247,Products_T[SKU],0))</f>
        <v>Indomie Noodles Carton</v>
      </c>
      <c r="E247" s="3" t="s">
        <v>145</v>
      </c>
      <c r="F247" s="3">
        <v>277</v>
      </c>
      <c r="G247" s="3">
        <v>277</v>
      </c>
      <c r="H247" s="3" t="s">
        <v>146</v>
      </c>
    </row>
    <row r="248" spans="1:8" x14ac:dyDescent="0.25">
      <c r="A248" s="3" t="s">
        <v>396</v>
      </c>
      <c r="B248" s="13">
        <v>46151</v>
      </c>
      <c r="C248" s="3" t="s">
        <v>81</v>
      </c>
      <c r="D248" t="str">
        <f>INDEX(Products_T[ProductName],MATCH(C248,Products_T[SKU],0))</f>
        <v>Peak Milk Tin 400g</v>
      </c>
      <c r="E248" s="3" t="s">
        <v>145</v>
      </c>
      <c r="F248" s="3">
        <v>203</v>
      </c>
      <c r="G248" s="3">
        <v>609</v>
      </c>
      <c r="H248" s="3" t="s">
        <v>146</v>
      </c>
    </row>
    <row r="249" spans="1:8" x14ac:dyDescent="0.25">
      <c r="A249" s="3" t="s">
        <v>397</v>
      </c>
      <c r="B249" s="13">
        <v>46151</v>
      </c>
      <c r="C249" s="3" t="s">
        <v>87</v>
      </c>
      <c r="D249" t="str">
        <f>INDEX(Products_T[ProductName],MATCH(C249,Products_T[SKU],0))</f>
        <v>Titus Sardine Tin</v>
      </c>
      <c r="E249" s="3" t="s">
        <v>145</v>
      </c>
      <c r="F249" s="3">
        <v>178</v>
      </c>
      <c r="G249" s="3">
        <v>299</v>
      </c>
      <c r="H249" s="3" t="s">
        <v>146</v>
      </c>
    </row>
    <row r="250" spans="1:8" x14ac:dyDescent="0.25">
      <c r="A250" s="3" t="s">
        <v>398</v>
      </c>
      <c r="B250" s="13">
        <v>46151</v>
      </c>
      <c r="C250" s="3" t="s">
        <v>117</v>
      </c>
      <c r="D250" t="str">
        <f>INDEX(Products_T[ProductName],MATCH(C250,Products_T[SKU],0))</f>
        <v>Extension Socket 4-way</v>
      </c>
      <c r="E250" s="3" t="s">
        <v>145</v>
      </c>
      <c r="F250" s="3">
        <v>41</v>
      </c>
      <c r="G250" s="3">
        <v>93</v>
      </c>
      <c r="H250" s="3" t="s">
        <v>146</v>
      </c>
    </row>
    <row r="251" spans="1:8" x14ac:dyDescent="0.25">
      <c r="A251" s="3" t="s">
        <v>399</v>
      </c>
      <c r="B251" s="13">
        <v>46153</v>
      </c>
      <c r="C251" s="3" t="s">
        <v>74</v>
      </c>
      <c r="D251" t="str">
        <f>INDEX(Products_T[ProductName],MATCH(C251,Products_T[SKU],0))</f>
        <v>Always Sanitary Pads</v>
      </c>
      <c r="E251" s="3" t="s">
        <v>145</v>
      </c>
      <c r="F251" s="3">
        <v>184</v>
      </c>
      <c r="G251" s="3">
        <v>192</v>
      </c>
      <c r="H251" s="3" t="s">
        <v>146</v>
      </c>
    </row>
    <row r="252" spans="1:8" x14ac:dyDescent="0.25">
      <c r="A252" s="3" t="s">
        <v>400</v>
      </c>
      <c r="B252" s="13">
        <v>46153</v>
      </c>
      <c r="C252" s="3" t="s">
        <v>91</v>
      </c>
      <c r="D252" t="str">
        <f>INDEX(Products_T[ProductName],MATCH(C252,Products_T[SKU],0))</f>
        <v>Omo Detergent 900g</v>
      </c>
      <c r="E252" s="3" t="s">
        <v>145</v>
      </c>
      <c r="F252" s="3">
        <v>146</v>
      </c>
      <c r="G252" s="3">
        <v>249</v>
      </c>
      <c r="H252" s="3" t="s">
        <v>146</v>
      </c>
    </row>
    <row r="253" spans="1:8" x14ac:dyDescent="0.25">
      <c r="A253" s="3" t="s">
        <v>401</v>
      </c>
      <c r="B253" s="13">
        <v>46153</v>
      </c>
      <c r="C253" s="3" t="s">
        <v>107</v>
      </c>
      <c r="D253" t="str">
        <f>INDEX(Products_T[ProductName],MATCH(C253,Products_T[SKU],0))</f>
        <v>Bluetooth Earbuds</v>
      </c>
      <c r="E253" s="3" t="s">
        <v>145</v>
      </c>
      <c r="F253" s="3">
        <v>52</v>
      </c>
      <c r="G253" s="3">
        <v>75</v>
      </c>
      <c r="H253" s="3" t="s">
        <v>146</v>
      </c>
    </row>
    <row r="254" spans="1:8" x14ac:dyDescent="0.25">
      <c r="A254" s="3" t="s">
        <v>402</v>
      </c>
      <c r="B254" s="13">
        <v>46154</v>
      </c>
      <c r="C254" s="3" t="s">
        <v>54</v>
      </c>
      <c r="D254" t="str">
        <f>INDEX(Products_T[ProductName],MATCH(C254,Products_T[SKU],0))</f>
        <v>Coca-Cola 1.5L</v>
      </c>
      <c r="E254" s="3" t="s">
        <v>145</v>
      </c>
      <c r="F254" s="3">
        <v>266</v>
      </c>
      <c r="G254" s="3">
        <v>721</v>
      </c>
      <c r="H254" s="3" t="s">
        <v>146</v>
      </c>
    </row>
    <row r="255" spans="1:8" x14ac:dyDescent="0.25">
      <c r="A255" s="3" t="s">
        <v>403</v>
      </c>
      <c r="B255" s="13">
        <v>46155</v>
      </c>
      <c r="C255" s="3" t="s">
        <v>70</v>
      </c>
      <c r="D255" t="str">
        <f>INDEX(Products_T[ProductName],MATCH(C255,Products_T[SKU],0))</f>
        <v>Sunsilk Shampoo 200ml</v>
      </c>
      <c r="E255" s="3" t="s">
        <v>145</v>
      </c>
      <c r="F255" s="3">
        <v>222</v>
      </c>
      <c r="G255" s="3">
        <v>341</v>
      </c>
      <c r="H255" s="3" t="s">
        <v>146</v>
      </c>
    </row>
    <row r="256" spans="1:8" x14ac:dyDescent="0.25">
      <c r="A256" s="3" t="s">
        <v>404</v>
      </c>
      <c r="B256" s="13">
        <v>46155</v>
      </c>
      <c r="C256" s="3" t="s">
        <v>94</v>
      </c>
      <c r="D256" t="str">
        <f>INDEX(Products_T[ProductName],MATCH(C256,Products_T[SKU],0))</f>
        <v>Harpic Toilet Cleaner</v>
      </c>
      <c r="E256" s="3" t="s">
        <v>145</v>
      </c>
      <c r="F256" s="3">
        <v>133</v>
      </c>
      <c r="G256" s="3">
        <v>151</v>
      </c>
      <c r="H256" s="3" t="s">
        <v>146</v>
      </c>
    </row>
    <row r="257" spans="1:8" x14ac:dyDescent="0.25">
      <c r="A257" s="3" t="s">
        <v>405</v>
      </c>
      <c r="B257" s="13">
        <v>46155</v>
      </c>
      <c r="C257" s="3" t="s">
        <v>109</v>
      </c>
      <c r="D257" t="str">
        <f>INDEX(Products_T[ProductName],MATCH(C257,Products_T[SKU],0))</f>
        <v>HDMI Cable 1.5m</v>
      </c>
      <c r="E257" s="3" t="s">
        <v>145</v>
      </c>
      <c r="F257" s="3">
        <v>87</v>
      </c>
      <c r="G257" s="3">
        <v>141</v>
      </c>
      <c r="H257" s="3" t="s">
        <v>146</v>
      </c>
    </row>
    <row r="258" spans="1:8" x14ac:dyDescent="0.25">
      <c r="A258" s="3" t="s">
        <v>406</v>
      </c>
      <c r="B258" s="13">
        <v>46156</v>
      </c>
      <c r="C258" s="3" t="s">
        <v>61</v>
      </c>
      <c r="D258" t="str">
        <f>INDEX(Products_T[ProductName],MATCH(C258,Products_T[SKU],0))</f>
        <v>Bottled Water 75cl</v>
      </c>
      <c r="E258" s="3" t="s">
        <v>145</v>
      </c>
      <c r="F258" s="3">
        <v>286</v>
      </c>
      <c r="G258" s="3">
        <v>730</v>
      </c>
      <c r="H258" s="3" t="s">
        <v>146</v>
      </c>
    </row>
    <row r="259" spans="1:8" x14ac:dyDescent="0.25">
      <c r="A259" s="3" t="s">
        <v>407</v>
      </c>
      <c r="B259" s="13">
        <v>46157</v>
      </c>
      <c r="C259" s="3" t="s">
        <v>98</v>
      </c>
      <c r="D259" t="str">
        <f>INDEX(Products_T[ProductName],MATCH(C259,Products_T[SKU],0))</f>
        <v>Sunlight Dishwash Liquid</v>
      </c>
      <c r="E259" s="3" t="s">
        <v>177</v>
      </c>
      <c r="F259" s="3">
        <v>106</v>
      </c>
      <c r="G259" s="3">
        <v>249</v>
      </c>
      <c r="H259" s="3" t="s">
        <v>178</v>
      </c>
    </row>
    <row r="260" spans="1:8" x14ac:dyDescent="0.25">
      <c r="A260" s="3" t="s">
        <v>408</v>
      </c>
      <c r="B260" s="13">
        <v>46158</v>
      </c>
      <c r="C260" s="3" t="s">
        <v>81</v>
      </c>
      <c r="D260" t="str">
        <f>INDEX(Products_T[ProductName],MATCH(C260,Products_T[SKU],0))</f>
        <v>Peak Milk Tin 400g</v>
      </c>
      <c r="E260" s="3" t="s">
        <v>177</v>
      </c>
      <c r="F260" s="3">
        <v>266</v>
      </c>
      <c r="G260" s="3">
        <v>343</v>
      </c>
      <c r="H260" s="3" t="s">
        <v>178</v>
      </c>
    </row>
    <row r="261" spans="1:8" x14ac:dyDescent="0.25">
      <c r="A261" s="3" t="s">
        <v>409</v>
      </c>
      <c r="B261" s="13">
        <v>46158</v>
      </c>
      <c r="C261" s="3" t="s">
        <v>85</v>
      </c>
      <c r="D261" t="str">
        <f>INDEX(Products_T[ProductName],MATCH(C261,Products_T[SKU],0))</f>
        <v>Kings Vegetable Oil 1L</v>
      </c>
      <c r="E261" s="3" t="s">
        <v>177</v>
      </c>
      <c r="F261" s="3">
        <v>84</v>
      </c>
      <c r="G261" s="3">
        <v>66</v>
      </c>
      <c r="H261" s="3" t="s">
        <v>178</v>
      </c>
    </row>
    <row r="262" spans="1:8" x14ac:dyDescent="0.25">
      <c r="A262" s="3" t="s">
        <v>410</v>
      </c>
      <c r="B262" s="13">
        <v>46158</v>
      </c>
      <c r="C262" s="3" t="s">
        <v>94</v>
      </c>
      <c r="D262" t="str">
        <f>INDEX(Products_T[ProductName],MATCH(C262,Products_T[SKU],0))</f>
        <v>Harpic Toilet Cleaner</v>
      </c>
      <c r="E262" s="3" t="s">
        <v>177</v>
      </c>
      <c r="F262" s="3">
        <v>151</v>
      </c>
      <c r="G262" s="3">
        <v>0</v>
      </c>
      <c r="H262" s="3" t="s">
        <v>178</v>
      </c>
    </row>
    <row r="263" spans="1:8" x14ac:dyDescent="0.25">
      <c r="A263" s="3" t="s">
        <v>411</v>
      </c>
      <c r="B263" s="13">
        <v>46158</v>
      </c>
      <c r="C263" s="3" t="s">
        <v>96</v>
      </c>
      <c r="D263" t="str">
        <f>INDEX(Products_T[ProductName],MATCH(C263,Products_T[SKU],0))</f>
        <v>Hypo Bleach 1L</v>
      </c>
      <c r="E263" s="3" t="s">
        <v>177</v>
      </c>
      <c r="F263" s="3">
        <v>161</v>
      </c>
      <c r="G263" s="3">
        <v>32</v>
      </c>
      <c r="H263" s="3" t="s">
        <v>178</v>
      </c>
    </row>
    <row r="264" spans="1:8" x14ac:dyDescent="0.25">
      <c r="A264" s="3" t="s">
        <v>412</v>
      </c>
      <c r="B264" s="13">
        <v>46159</v>
      </c>
      <c r="C264" s="3" t="s">
        <v>59</v>
      </c>
      <c r="D264" t="str">
        <f>INDEX(Products_T[ProductName],MATCH(C264,Products_T[SKU],0))</f>
        <v>Fanta 1.5L</v>
      </c>
      <c r="E264" s="3" t="s">
        <v>177</v>
      </c>
      <c r="F264" s="3">
        <v>414</v>
      </c>
      <c r="G264" s="3">
        <v>0</v>
      </c>
      <c r="H264" s="3" t="s">
        <v>178</v>
      </c>
    </row>
    <row r="265" spans="1:8" x14ac:dyDescent="0.25">
      <c r="A265" s="3" t="s">
        <v>413</v>
      </c>
      <c r="B265" s="13">
        <v>46159</v>
      </c>
      <c r="C265" s="3" t="s">
        <v>104</v>
      </c>
      <c r="D265" t="str">
        <f>INDEX(Products_T[ProductName],MATCH(C265,Products_T[SKU],0))</f>
        <v>USB-C Charging Cable</v>
      </c>
      <c r="E265" s="3" t="s">
        <v>177</v>
      </c>
      <c r="F265" s="3">
        <v>62</v>
      </c>
      <c r="G265" s="3">
        <v>0</v>
      </c>
      <c r="H265" s="3" t="s">
        <v>178</v>
      </c>
    </row>
    <row r="266" spans="1:8" x14ac:dyDescent="0.25">
      <c r="A266" s="3" t="s">
        <v>414</v>
      </c>
      <c r="B266" s="13">
        <v>46159</v>
      </c>
      <c r="C266" s="3" t="s">
        <v>113</v>
      </c>
      <c r="D266" t="str">
        <f>INDEX(Products_T[ProductName],MATCH(C266,Products_T[SKU],0))</f>
        <v>Phone Screen Protector</v>
      </c>
      <c r="E266" s="3" t="s">
        <v>177</v>
      </c>
      <c r="F266" s="3">
        <v>58</v>
      </c>
      <c r="G266" s="3">
        <v>121</v>
      </c>
      <c r="H266" s="3" t="s">
        <v>178</v>
      </c>
    </row>
    <row r="267" spans="1:8" x14ac:dyDescent="0.25">
      <c r="A267" s="3" t="s">
        <v>415</v>
      </c>
      <c r="B267" s="13">
        <v>46160</v>
      </c>
      <c r="C267" s="3" t="s">
        <v>72</v>
      </c>
      <c r="D267" t="str">
        <f>INDEX(Products_T[ProductName],MATCH(C267,Products_T[SKU],0))</f>
        <v>Vaseline Lotion 400ml</v>
      </c>
      <c r="E267" s="3" t="s">
        <v>177</v>
      </c>
      <c r="F267" s="3">
        <v>198</v>
      </c>
      <c r="G267" s="3">
        <v>145</v>
      </c>
      <c r="H267" s="3" t="s">
        <v>178</v>
      </c>
    </row>
    <row r="268" spans="1:8" x14ac:dyDescent="0.25">
      <c r="A268" s="3" t="s">
        <v>416</v>
      </c>
      <c r="B268" s="13">
        <v>46161</v>
      </c>
      <c r="C268" s="3" t="s">
        <v>54</v>
      </c>
      <c r="D268" t="str">
        <f>INDEX(Products_T[ProductName],MATCH(C268,Products_T[SKU],0))</f>
        <v>Coca-Cola 1.5L</v>
      </c>
      <c r="E268" s="3" t="s">
        <v>177</v>
      </c>
      <c r="F268" s="3">
        <v>205</v>
      </c>
      <c r="G268" s="3">
        <v>516</v>
      </c>
      <c r="H268" s="3" t="s">
        <v>178</v>
      </c>
    </row>
    <row r="269" spans="1:8" x14ac:dyDescent="0.25">
      <c r="A269" s="3" t="s">
        <v>417</v>
      </c>
      <c r="B269" s="13">
        <v>46161</v>
      </c>
      <c r="C269" s="3" t="s">
        <v>83</v>
      </c>
      <c r="D269" t="str">
        <f>INDEX(Products_T[ProductName],MATCH(C269,Products_T[SKU],0))</f>
        <v>Dangote Pasta 500g</v>
      </c>
      <c r="E269" s="3" t="s">
        <v>177</v>
      </c>
      <c r="F269" s="3">
        <v>161</v>
      </c>
      <c r="G269" s="3">
        <v>62</v>
      </c>
      <c r="H269" s="3" t="s">
        <v>178</v>
      </c>
    </row>
    <row r="270" spans="1:8" x14ac:dyDescent="0.25">
      <c r="A270" s="3" t="s">
        <v>418</v>
      </c>
      <c r="B270" s="13">
        <v>46161</v>
      </c>
      <c r="C270" s="3" t="s">
        <v>100</v>
      </c>
      <c r="D270" t="str">
        <f>INDEX(Products_T[ProductName],MATCH(C270,Products_T[SKU],0))</f>
        <v>Ambipur Air Freshener</v>
      </c>
      <c r="E270" s="3" t="s">
        <v>177</v>
      </c>
      <c r="F270" s="3">
        <v>141</v>
      </c>
      <c r="G270" s="3">
        <v>77</v>
      </c>
      <c r="H270" s="3" t="s">
        <v>178</v>
      </c>
    </row>
    <row r="271" spans="1:8" x14ac:dyDescent="0.25">
      <c r="A271" s="3" t="s">
        <v>419</v>
      </c>
      <c r="B271" s="13">
        <v>46162</v>
      </c>
      <c r="C271" s="3" t="s">
        <v>70</v>
      </c>
      <c r="D271" t="str">
        <f>INDEX(Products_T[ProductName],MATCH(C271,Products_T[SKU],0))</f>
        <v>Sunsilk Shampoo 200ml</v>
      </c>
      <c r="E271" s="3" t="s">
        <v>177</v>
      </c>
      <c r="F271" s="3">
        <v>258</v>
      </c>
      <c r="G271" s="3">
        <v>83</v>
      </c>
      <c r="H271" s="3" t="s">
        <v>178</v>
      </c>
    </row>
    <row r="272" spans="1:8" x14ac:dyDescent="0.25">
      <c r="A272" s="3" t="s">
        <v>420</v>
      </c>
      <c r="B272" s="13">
        <v>46164</v>
      </c>
      <c r="C272" s="3" t="s">
        <v>76</v>
      </c>
      <c r="D272" t="str">
        <f>INDEX(Products_T[ProductName],MATCH(C272,Products_T[SKU],0))</f>
        <v>Indomie Noodles Carton</v>
      </c>
      <c r="E272" s="3" t="s">
        <v>177</v>
      </c>
      <c r="F272" s="3">
        <v>196</v>
      </c>
      <c r="G272" s="3">
        <v>81</v>
      </c>
      <c r="H272" s="3" t="s">
        <v>178</v>
      </c>
    </row>
    <row r="273" spans="1:8" x14ac:dyDescent="0.25">
      <c r="A273" s="3" t="s">
        <v>421</v>
      </c>
      <c r="B273" s="13">
        <v>46165</v>
      </c>
      <c r="C273" s="3" t="s">
        <v>74</v>
      </c>
      <c r="D273" t="str">
        <f>INDEX(Products_T[ProductName],MATCH(C273,Products_T[SKU],0))</f>
        <v>Always Sanitary Pads</v>
      </c>
      <c r="E273" s="3" t="s">
        <v>177</v>
      </c>
      <c r="F273" s="3">
        <v>123</v>
      </c>
      <c r="G273" s="3">
        <v>69</v>
      </c>
      <c r="H273" s="3" t="s">
        <v>178</v>
      </c>
    </row>
    <row r="274" spans="1:8" x14ac:dyDescent="0.25">
      <c r="A274" s="3" t="s">
        <v>422</v>
      </c>
      <c r="B274" s="13">
        <v>46165</v>
      </c>
      <c r="C274" s="3" t="s">
        <v>79</v>
      </c>
      <c r="D274" t="str">
        <f>INDEX(Products_T[ProductName],MATCH(C274,Products_T[SKU],0))</f>
        <v>Golden Penny Semovita 1kg</v>
      </c>
      <c r="E274" s="3" t="s">
        <v>177</v>
      </c>
      <c r="F274" s="3">
        <v>168</v>
      </c>
      <c r="G274" s="3">
        <v>158</v>
      </c>
      <c r="H274" s="3" t="s">
        <v>178</v>
      </c>
    </row>
    <row r="275" spans="1:8" x14ac:dyDescent="0.25">
      <c r="A275" s="3" t="s">
        <v>423</v>
      </c>
      <c r="B275" s="13">
        <v>46165</v>
      </c>
      <c r="C275" s="3" t="s">
        <v>91</v>
      </c>
      <c r="D275" t="str">
        <f>INDEX(Products_T[ProductName],MATCH(C275,Products_T[SKU],0))</f>
        <v>Omo Detergent 900g</v>
      </c>
      <c r="E275" s="3" t="s">
        <v>177</v>
      </c>
      <c r="F275" s="3">
        <v>202</v>
      </c>
      <c r="G275" s="3">
        <v>47</v>
      </c>
      <c r="H275" s="3" t="s">
        <v>178</v>
      </c>
    </row>
    <row r="276" spans="1:8" x14ac:dyDescent="0.25">
      <c r="A276" s="3" t="s">
        <v>424</v>
      </c>
      <c r="B276" s="13">
        <v>46166</v>
      </c>
      <c r="C276" s="3" t="s">
        <v>63</v>
      </c>
      <c r="D276" t="str">
        <f>INDEX(Products_T[ProductName],MATCH(C276,Products_T[SKU],0))</f>
        <v>Malt Drink 33cl</v>
      </c>
      <c r="E276" s="3" t="s">
        <v>177</v>
      </c>
      <c r="F276" s="3">
        <v>248</v>
      </c>
      <c r="G276" s="3">
        <v>0</v>
      </c>
      <c r="H276" s="3" t="s">
        <v>178</v>
      </c>
    </row>
    <row r="277" spans="1:8" x14ac:dyDescent="0.25">
      <c r="A277" s="3" t="s">
        <v>425</v>
      </c>
      <c r="B277" s="13">
        <v>46166</v>
      </c>
      <c r="C277" s="3" t="s">
        <v>87</v>
      </c>
      <c r="D277" t="str">
        <f>INDEX(Products_T[ProductName],MATCH(C277,Products_T[SKU],0))</f>
        <v>Titus Sardine Tin</v>
      </c>
      <c r="E277" s="3" t="s">
        <v>177</v>
      </c>
      <c r="F277" s="3">
        <v>130</v>
      </c>
      <c r="G277" s="3">
        <v>169</v>
      </c>
      <c r="H277" s="3" t="s">
        <v>178</v>
      </c>
    </row>
    <row r="278" spans="1:8" x14ac:dyDescent="0.25">
      <c r="A278" s="3" t="s">
        <v>426</v>
      </c>
      <c r="B278" s="13">
        <v>46167</v>
      </c>
      <c r="C278" s="3" t="s">
        <v>107</v>
      </c>
      <c r="D278" t="str">
        <f>INDEX(Products_T[ProductName],MATCH(C278,Products_T[SKU],0))</f>
        <v>Bluetooth Earbuds</v>
      </c>
      <c r="E278" s="3" t="s">
        <v>177</v>
      </c>
      <c r="F278" s="3">
        <v>75</v>
      </c>
      <c r="G278" s="3">
        <v>0</v>
      </c>
      <c r="H278" s="3" t="s">
        <v>178</v>
      </c>
    </row>
    <row r="279" spans="1:8" x14ac:dyDescent="0.25">
      <c r="A279" s="3" t="s">
        <v>427</v>
      </c>
      <c r="B279" s="13">
        <v>46167</v>
      </c>
      <c r="C279" s="3" t="s">
        <v>115</v>
      </c>
      <c r="D279" t="str">
        <f>INDEX(Products_T[ProductName],MATCH(C279,Products_T[SKU],0))</f>
        <v>Wireless Mouse</v>
      </c>
      <c r="E279" s="3" t="s">
        <v>177</v>
      </c>
      <c r="F279" s="3">
        <v>84</v>
      </c>
      <c r="G279" s="3">
        <v>132</v>
      </c>
      <c r="H279" s="3" t="s">
        <v>178</v>
      </c>
    </row>
    <row r="280" spans="1:8" x14ac:dyDescent="0.25">
      <c r="A280" s="3" t="s">
        <v>428</v>
      </c>
      <c r="B280" s="13">
        <v>46168</v>
      </c>
      <c r="C280" s="3" t="s">
        <v>68</v>
      </c>
      <c r="D280" t="str">
        <f>INDEX(Products_T[ProductName],MATCH(C280,Products_T[SKU],0))</f>
        <v>Dettol Soap 100g</v>
      </c>
      <c r="E280" s="3" t="s">
        <v>177</v>
      </c>
      <c r="F280" s="3">
        <v>184</v>
      </c>
      <c r="G280" s="3">
        <v>84</v>
      </c>
      <c r="H280" s="3" t="s">
        <v>178</v>
      </c>
    </row>
    <row r="281" spans="1:8" x14ac:dyDescent="0.25">
      <c r="A281" s="3" t="s">
        <v>429</v>
      </c>
      <c r="B281" s="13">
        <v>46169</v>
      </c>
      <c r="C281" s="3" t="s">
        <v>57</v>
      </c>
      <c r="D281" t="str">
        <f>INDEX(Products_T[ProductName],MATCH(C281,Products_T[SKU],0))</f>
        <v>Sprite 1.5L</v>
      </c>
      <c r="E281" s="3" t="s">
        <v>177</v>
      </c>
      <c r="F281" s="3">
        <v>257</v>
      </c>
      <c r="G281" s="3">
        <v>0</v>
      </c>
      <c r="H281" s="3" t="s">
        <v>178</v>
      </c>
    </row>
    <row r="282" spans="1:8" x14ac:dyDescent="0.25">
      <c r="A282" s="3" t="s">
        <v>430</v>
      </c>
      <c r="B282" s="13">
        <v>46169</v>
      </c>
      <c r="C282" s="3" t="s">
        <v>117</v>
      </c>
      <c r="D282" t="str">
        <f>INDEX(Products_T[ProductName],MATCH(C282,Products_T[SKU],0))</f>
        <v>Extension Socket 4-way</v>
      </c>
      <c r="E282" s="3" t="s">
        <v>177</v>
      </c>
      <c r="F282" s="3">
        <v>65</v>
      </c>
      <c r="G282" s="3">
        <v>28</v>
      </c>
      <c r="H282" s="3" t="s">
        <v>178</v>
      </c>
    </row>
    <row r="283" spans="1:8" x14ac:dyDescent="0.25">
      <c r="A283" s="3" t="s">
        <v>431</v>
      </c>
      <c r="B283" s="13">
        <v>46170</v>
      </c>
      <c r="C283" s="3" t="s">
        <v>61</v>
      </c>
      <c r="D283" t="str">
        <f>INDEX(Products_T[ProductName],MATCH(C283,Products_T[SKU],0))</f>
        <v>Bottled Water 75cl</v>
      </c>
      <c r="E283" s="3" t="s">
        <v>177</v>
      </c>
      <c r="F283" s="3">
        <v>176</v>
      </c>
      <c r="G283" s="3">
        <v>554</v>
      </c>
      <c r="H283" s="3" t="s">
        <v>178</v>
      </c>
    </row>
    <row r="284" spans="1:8" x14ac:dyDescent="0.25">
      <c r="A284" s="3" t="s">
        <v>432</v>
      </c>
      <c r="B284" s="13">
        <v>46170</v>
      </c>
      <c r="C284" s="3" t="s">
        <v>109</v>
      </c>
      <c r="D284" t="str">
        <f>INDEX(Products_T[ProductName],MATCH(C284,Products_T[SKU],0))</f>
        <v>HDMI Cable 1.5m</v>
      </c>
      <c r="E284" s="3" t="s">
        <v>177</v>
      </c>
      <c r="F284" s="3">
        <v>68</v>
      </c>
      <c r="G284" s="3">
        <v>73</v>
      </c>
      <c r="H284" s="3" t="s">
        <v>178</v>
      </c>
    </row>
    <row r="285" spans="1:8" x14ac:dyDescent="0.25">
      <c r="A285" s="3" t="s">
        <v>433</v>
      </c>
      <c r="B285" s="13">
        <v>46176</v>
      </c>
      <c r="C285" s="3" t="s">
        <v>68</v>
      </c>
      <c r="D285" t="str">
        <f>INDEX(Products_T[ProductName],MATCH(C285,Products_T[SKU],0))</f>
        <v>Dettol Soap 100g</v>
      </c>
      <c r="E285" s="3" t="s">
        <v>145</v>
      </c>
      <c r="F285" s="3">
        <v>233</v>
      </c>
      <c r="G285" s="3">
        <v>317</v>
      </c>
      <c r="H285" s="3" t="s">
        <v>146</v>
      </c>
    </row>
    <row r="286" spans="1:8" x14ac:dyDescent="0.25">
      <c r="A286" s="3" t="s">
        <v>434</v>
      </c>
      <c r="B286" s="13">
        <v>46176</v>
      </c>
      <c r="C286" s="3" t="s">
        <v>83</v>
      </c>
      <c r="D286" t="str">
        <f>INDEX(Products_T[ProductName],MATCH(C286,Products_T[SKU],0))</f>
        <v>Dangote Pasta 500g</v>
      </c>
      <c r="E286" s="3" t="s">
        <v>145</v>
      </c>
      <c r="F286" s="3">
        <v>191</v>
      </c>
      <c r="G286" s="3">
        <v>253</v>
      </c>
      <c r="H286" s="3" t="s">
        <v>146</v>
      </c>
    </row>
    <row r="287" spans="1:8" x14ac:dyDescent="0.25">
      <c r="A287" s="3" t="s">
        <v>435</v>
      </c>
      <c r="B287" s="13">
        <v>46177</v>
      </c>
      <c r="C287" s="3" t="s">
        <v>70</v>
      </c>
      <c r="D287" t="str">
        <f>INDEX(Products_T[ProductName],MATCH(C287,Products_T[SKU],0))</f>
        <v>Sunsilk Shampoo 200ml</v>
      </c>
      <c r="E287" s="3" t="s">
        <v>145</v>
      </c>
      <c r="F287" s="3">
        <v>219</v>
      </c>
      <c r="G287" s="3">
        <v>302</v>
      </c>
      <c r="H287" s="3" t="s">
        <v>146</v>
      </c>
    </row>
    <row r="288" spans="1:8" x14ac:dyDescent="0.25">
      <c r="A288" s="3" t="s">
        <v>436</v>
      </c>
      <c r="B288" s="13">
        <v>46177</v>
      </c>
      <c r="C288" s="3" t="s">
        <v>91</v>
      </c>
      <c r="D288" t="str">
        <f>INDEX(Products_T[ProductName],MATCH(C288,Products_T[SKU],0))</f>
        <v>Omo Detergent 900g</v>
      </c>
      <c r="E288" s="3" t="s">
        <v>145</v>
      </c>
      <c r="F288" s="3">
        <v>220</v>
      </c>
      <c r="G288" s="3">
        <v>267</v>
      </c>
      <c r="H288" s="3" t="s">
        <v>146</v>
      </c>
    </row>
    <row r="289" spans="1:8" x14ac:dyDescent="0.25">
      <c r="A289" s="3" t="s">
        <v>437</v>
      </c>
      <c r="B289" s="13">
        <v>46177</v>
      </c>
      <c r="C289" s="3" t="s">
        <v>107</v>
      </c>
      <c r="D289" t="str">
        <f>INDEX(Products_T[ProductName],MATCH(C289,Products_T[SKU],0))</f>
        <v>Bluetooth Earbuds</v>
      </c>
      <c r="E289" s="3" t="s">
        <v>145</v>
      </c>
      <c r="F289" s="3">
        <v>101</v>
      </c>
      <c r="G289" s="3">
        <v>101</v>
      </c>
      <c r="H289" s="3" t="s">
        <v>146</v>
      </c>
    </row>
    <row r="290" spans="1:8" x14ac:dyDescent="0.25">
      <c r="A290" s="3" t="s">
        <v>438</v>
      </c>
      <c r="B290" s="13">
        <v>46179</v>
      </c>
      <c r="C290" s="3" t="s">
        <v>109</v>
      </c>
      <c r="D290" t="str">
        <f>INDEX(Products_T[ProductName],MATCH(C290,Products_T[SKU],0))</f>
        <v>HDMI Cable 1.5m</v>
      </c>
      <c r="E290" s="3" t="s">
        <v>145</v>
      </c>
      <c r="F290" s="3">
        <v>54</v>
      </c>
      <c r="G290" s="3">
        <v>127</v>
      </c>
      <c r="H290" s="3" t="s">
        <v>146</v>
      </c>
    </row>
    <row r="291" spans="1:8" x14ac:dyDescent="0.25">
      <c r="A291" s="3" t="s">
        <v>439</v>
      </c>
      <c r="B291" s="13">
        <v>46180</v>
      </c>
      <c r="C291" s="3" t="s">
        <v>72</v>
      </c>
      <c r="D291" t="str">
        <f>INDEX(Products_T[ProductName],MATCH(C291,Products_T[SKU],0))</f>
        <v>Vaseline Lotion 400ml</v>
      </c>
      <c r="E291" s="3" t="s">
        <v>145</v>
      </c>
      <c r="F291" s="3">
        <v>288</v>
      </c>
      <c r="G291" s="3">
        <v>433</v>
      </c>
      <c r="H291" s="3" t="s">
        <v>146</v>
      </c>
    </row>
    <row r="292" spans="1:8" x14ac:dyDescent="0.25">
      <c r="A292" s="3" t="s">
        <v>440</v>
      </c>
      <c r="B292" s="13">
        <v>46180</v>
      </c>
      <c r="C292" s="3" t="s">
        <v>81</v>
      </c>
      <c r="D292" t="str">
        <f>INDEX(Products_T[ProductName],MATCH(C292,Products_T[SKU],0))</f>
        <v>Peak Milk Tin 400g</v>
      </c>
      <c r="E292" s="3" t="s">
        <v>145</v>
      </c>
      <c r="F292" s="3">
        <v>62</v>
      </c>
      <c r="G292" s="3">
        <v>405</v>
      </c>
      <c r="H292" s="3" t="s">
        <v>146</v>
      </c>
    </row>
    <row r="293" spans="1:8" x14ac:dyDescent="0.25">
      <c r="A293" s="3" t="s">
        <v>441</v>
      </c>
      <c r="B293" s="13">
        <v>46180</v>
      </c>
      <c r="C293" s="3" t="s">
        <v>100</v>
      </c>
      <c r="D293" t="str">
        <f>INDEX(Products_T[ProductName],MATCH(C293,Products_T[SKU],0))</f>
        <v>Ambipur Air Freshener</v>
      </c>
      <c r="E293" s="3" t="s">
        <v>145</v>
      </c>
      <c r="F293" s="3">
        <v>111</v>
      </c>
      <c r="G293" s="3">
        <v>188</v>
      </c>
      <c r="H293" s="3" t="s">
        <v>146</v>
      </c>
    </row>
    <row r="294" spans="1:8" x14ac:dyDescent="0.25">
      <c r="A294" s="3" t="s">
        <v>442</v>
      </c>
      <c r="B294" s="13">
        <v>46180</v>
      </c>
      <c r="C294" s="3" t="s">
        <v>117</v>
      </c>
      <c r="D294" t="str">
        <f>INDEX(Products_T[ProductName],MATCH(C294,Products_T[SKU],0))</f>
        <v>Extension Socket 4-way</v>
      </c>
      <c r="E294" s="3" t="s">
        <v>145</v>
      </c>
      <c r="F294" s="3">
        <v>82</v>
      </c>
      <c r="G294" s="3">
        <v>110</v>
      </c>
      <c r="H294" s="3" t="s">
        <v>146</v>
      </c>
    </row>
    <row r="295" spans="1:8" x14ac:dyDescent="0.25">
      <c r="A295" s="3" t="s">
        <v>443</v>
      </c>
      <c r="B295" s="13">
        <v>46181</v>
      </c>
      <c r="C295" s="3" t="s">
        <v>57</v>
      </c>
      <c r="D295" t="str">
        <f>INDEX(Products_T[ProductName],MATCH(C295,Products_T[SKU],0))</f>
        <v>Sprite 1.5L</v>
      </c>
      <c r="E295" s="3" t="s">
        <v>145</v>
      </c>
      <c r="F295" s="3">
        <v>518</v>
      </c>
      <c r="G295" s="3">
        <v>518</v>
      </c>
      <c r="H295" s="3" t="s">
        <v>146</v>
      </c>
    </row>
    <row r="296" spans="1:8" x14ac:dyDescent="0.25">
      <c r="A296" s="3" t="s">
        <v>444</v>
      </c>
      <c r="B296" s="13">
        <v>46181</v>
      </c>
      <c r="C296" s="3" t="s">
        <v>63</v>
      </c>
      <c r="D296" t="str">
        <f>INDEX(Products_T[ProductName],MATCH(C296,Products_T[SKU],0))</f>
        <v>Malt Drink 33cl</v>
      </c>
      <c r="E296" s="3" t="s">
        <v>145</v>
      </c>
      <c r="F296" s="3">
        <v>540</v>
      </c>
      <c r="G296" s="3">
        <v>540</v>
      </c>
      <c r="H296" s="3" t="s">
        <v>146</v>
      </c>
    </row>
    <row r="297" spans="1:8" x14ac:dyDescent="0.25">
      <c r="A297" s="3" t="s">
        <v>445</v>
      </c>
      <c r="B297" s="13">
        <v>46181</v>
      </c>
      <c r="C297" s="3" t="s">
        <v>76</v>
      </c>
      <c r="D297" t="str">
        <f>INDEX(Products_T[ProductName],MATCH(C297,Products_T[SKU],0))</f>
        <v>Indomie Noodles Carton</v>
      </c>
      <c r="E297" s="3" t="s">
        <v>145</v>
      </c>
      <c r="F297" s="3">
        <v>285</v>
      </c>
      <c r="G297" s="3">
        <v>366</v>
      </c>
      <c r="H297" s="3" t="s">
        <v>146</v>
      </c>
    </row>
    <row r="298" spans="1:8" x14ac:dyDescent="0.25">
      <c r="A298" s="3" t="s">
        <v>446</v>
      </c>
      <c r="B298" s="13">
        <v>46183</v>
      </c>
      <c r="C298" s="3" t="s">
        <v>79</v>
      </c>
      <c r="D298" t="str">
        <f>INDEX(Products_T[ProductName],MATCH(C298,Products_T[SKU],0))</f>
        <v>Golden Penny Semovita 1kg</v>
      </c>
      <c r="E298" s="3" t="s">
        <v>145</v>
      </c>
      <c r="F298" s="3">
        <v>213</v>
      </c>
      <c r="G298" s="3">
        <v>371</v>
      </c>
      <c r="H298" s="3" t="s">
        <v>146</v>
      </c>
    </row>
    <row r="299" spans="1:8" x14ac:dyDescent="0.25">
      <c r="A299" s="3" t="s">
        <v>447</v>
      </c>
      <c r="B299" s="13">
        <v>46184</v>
      </c>
      <c r="C299" s="3" t="s">
        <v>61</v>
      </c>
      <c r="D299" t="str">
        <f>INDEX(Products_T[ProductName],MATCH(C299,Products_T[SKU],0))</f>
        <v>Bottled Water 75cl</v>
      </c>
      <c r="E299" s="3" t="s">
        <v>145</v>
      </c>
      <c r="F299" s="3">
        <v>4</v>
      </c>
      <c r="G299" s="3">
        <v>558</v>
      </c>
      <c r="H299" s="3" t="s">
        <v>146</v>
      </c>
    </row>
    <row r="300" spans="1:8" x14ac:dyDescent="0.25">
      <c r="A300" s="3" t="s">
        <v>448</v>
      </c>
      <c r="B300" s="13">
        <v>46184</v>
      </c>
      <c r="C300" s="3" t="s">
        <v>74</v>
      </c>
      <c r="D300" t="str">
        <f>INDEX(Products_T[ProductName],MATCH(C300,Products_T[SKU],0))</f>
        <v>Always Sanitary Pads</v>
      </c>
      <c r="E300" s="3" t="s">
        <v>145</v>
      </c>
      <c r="F300" s="3">
        <v>77</v>
      </c>
      <c r="G300" s="3">
        <v>146</v>
      </c>
      <c r="H300" s="3" t="s">
        <v>146</v>
      </c>
    </row>
    <row r="301" spans="1:8" x14ac:dyDescent="0.25">
      <c r="A301" s="3" t="s">
        <v>449</v>
      </c>
      <c r="B301" s="13">
        <v>46186</v>
      </c>
      <c r="C301" s="3" t="s">
        <v>85</v>
      </c>
      <c r="D301" t="str">
        <f>INDEX(Products_T[ProductName],MATCH(C301,Products_T[SKU],0))</f>
        <v>Kings Vegetable Oil 1L</v>
      </c>
      <c r="E301" s="3" t="s">
        <v>145</v>
      </c>
      <c r="F301" s="3">
        <v>89</v>
      </c>
      <c r="G301" s="3">
        <v>155</v>
      </c>
      <c r="H301" s="3" t="s">
        <v>146</v>
      </c>
    </row>
    <row r="302" spans="1:8" x14ac:dyDescent="0.25">
      <c r="A302" s="3" t="s">
        <v>450</v>
      </c>
      <c r="B302" s="13">
        <v>46186</v>
      </c>
      <c r="C302" s="3" t="s">
        <v>104</v>
      </c>
      <c r="D302" t="str">
        <f>INDEX(Products_T[ProductName],MATCH(C302,Products_T[SKU],0))</f>
        <v>USB-C Charging Cable</v>
      </c>
      <c r="E302" s="3" t="s">
        <v>145</v>
      </c>
      <c r="F302" s="3">
        <v>139</v>
      </c>
      <c r="G302" s="3">
        <v>139</v>
      </c>
      <c r="H302" s="3" t="s">
        <v>146</v>
      </c>
    </row>
    <row r="303" spans="1:8" x14ac:dyDescent="0.25">
      <c r="A303" s="3" t="s">
        <v>451</v>
      </c>
      <c r="B303" s="13">
        <v>46187</v>
      </c>
      <c r="C303" s="3" t="s">
        <v>59</v>
      </c>
      <c r="D303" t="str">
        <f>INDEX(Products_T[ProductName],MATCH(C303,Products_T[SKU],0))</f>
        <v>Fanta 1.5L</v>
      </c>
      <c r="E303" s="3" t="s">
        <v>145</v>
      </c>
      <c r="F303" s="3">
        <v>388</v>
      </c>
      <c r="G303" s="3">
        <v>388</v>
      </c>
      <c r="H303" s="3" t="s">
        <v>146</v>
      </c>
    </row>
    <row r="304" spans="1:8" x14ac:dyDescent="0.25">
      <c r="A304" s="3" t="s">
        <v>452</v>
      </c>
      <c r="B304" s="13">
        <v>46187</v>
      </c>
      <c r="C304" s="3" t="s">
        <v>94</v>
      </c>
      <c r="D304" t="str">
        <f>INDEX(Products_T[ProductName],MATCH(C304,Products_T[SKU],0))</f>
        <v>Harpic Toilet Cleaner</v>
      </c>
      <c r="E304" s="3" t="s">
        <v>145</v>
      </c>
      <c r="F304" s="3">
        <v>227</v>
      </c>
      <c r="G304" s="3">
        <v>227</v>
      </c>
      <c r="H304" s="3" t="s">
        <v>146</v>
      </c>
    </row>
    <row r="305" spans="1:8" x14ac:dyDescent="0.25">
      <c r="A305" s="3" t="s">
        <v>453</v>
      </c>
      <c r="B305" s="13">
        <v>46187</v>
      </c>
      <c r="C305" s="3" t="s">
        <v>96</v>
      </c>
      <c r="D305" t="str">
        <f>INDEX(Products_T[ProductName],MATCH(C305,Products_T[SKU],0))</f>
        <v>Hypo Bleach 1L</v>
      </c>
      <c r="E305" s="3" t="s">
        <v>145</v>
      </c>
      <c r="F305" s="3">
        <v>150</v>
      </c>
      <c r="G305" s="3">
        <v>182</v>
      </c>
      <c r="H305" s="3" t="s">
        <v>146</v>
      </c>
    </row>
    <row r="306" spans="1:8" x14ac:dyDescent="0.25">
      <c r="A306" s="3" t="s">
        <v>454</v>
      </c>
      <c r="B306" s="13">
        <v>46188</v>
      </c>
      <c r="C306" s="3" t="s">
        <v>68</v>
      </c>
      <c r="D306" t="str">
        <f>INDEX(Products_T[ProductName],MATCH(C306,Products_T[SKU],0))</f>
        <v>Dettol Soap 100g</v>
      </c>
      <c r="E306" s="3" t="s">
        <v>177</v>
      </c>
      <c r="F306" s="3">
        <v>188</v>
      </c>
      <c r="G306" s="3">
        <v>129</v>
      </c>
      <c r="H306" s="3" t="s">
        <v>178</v>
      </c>
    </row>
    <row r="307" spans="1:8" x14ac:dyDescent="0.25">
      <c r="A307" s="3" t="s">
        <v>455</v>
      </c>
      <c r="B307" s="13">
        <v>46188</v>
      </c>
      <c r="C307" s="3" t="s">
        <v>81</v>
      </c>
      <c r="D307" t="str">
        <f>INDEX(Products_T[ProductName],MATCH(C307,Products_T[SKU],0))</f>
        <v>Peak Milk Tin 400g</v>
      </c>
      <c r="E307" s="3" t="s">
        <v>177</v>
      </c>
      <c r="F307" s="3">
        <v>185</v>
      </c>
      <c r="G307" s="3">
        <v>220</v>
      </c>
      <c r="H307" s="3" t="s">
        <v>178</v>
      </c>
    </row>
    <row r="308" spans="1:8" x14ac:dyDescent="0.25">
      <c r="A308" s="3" t="s">
        <v>456</v>
      </c>
      <c r="B308" s="13">
        <v>46188</v>
      </c>
      <c r="C308" s="3" t="s">
        <v>83</v>
      </c>
      <c r="D308" t="str">
        <f>INDEX(Products_T[ProductName],MATCH(C308,Products_T[SKU],0))</f>
        <v>Dangote Pasta 500g</v>
      </c>
      <c r="E308" s="3" t="s">
        <v>177</v>
      </c>
      <c r="F308" s="3">
        <v>184</v>
      </c>
      <c r="G308" s="3">
        <v>69</v>
      </c>
      <c r="H308" s="3" t="s">
        <v>178</v>
      </c>
    </row>
    <row r="309" spans="1:8" x14ac:dyDescent="0.25">
      <c r="A309" s="3" t="s">
        <v>457</v>
      </c>
      <c r="B309" s="13">
        <v>46188</v>
      </c>
      <c r="C309" s="3" t="s">
        <v>87</v>
      </c>
      <c r="D309" t="str">
        <f>INDEX(Products_T[ProductName],MATCH(C309,Products_T[SKU],0))</f>
        <v>Titus Sardine Tin</v>
      </c>
      <c r="E309" s="3" t="s">
        <v>177</v>
      </c>
      <c r="F309" s="3">
        <v>140</v>
      </c>
      <c r="G309" s="3">
        <v>29</v>
      </c>
      <c r="H309" s="3" t="s">
        <v>178</v>
      </c>
    </row>
    <row r="310" spans="1:8" x14ac:dyDescent="0.25">
      <c r="A310" s="3" t="s">
        <v>458</v>
      </c>
      <c r="B310" s="13">
        <v>46189</v>
      </c>
      <c r="C310" s="3" t="s">
        <v>76</v>
      </c>
      <c r="D310" t="str">
        <f>INDEX(Products_T[ProductName],MATCH(C310,Products_T[SKU],0))</f>
        <v>Indomie Noodles Carton</v>
      </c>
      <c r="E310" s="3" t="s">
        <v>177</v>
      </c>
      <c r="F310" s="3">
        <v>285</v>
      </c>
      <c r="G310" s="3">
        <v>81</v>
      </c>
      <c r="H310" s="3" t="s">
        <v>178</v>
      </c>
    </row>
    <row r="311" spans="1:8" x14ac:dyDescent="0.25">
      <c r="A311" s="3" t="s">
        <v>459</v>
      </c>
      <c r="B311" s="13">
        <v>46190</v>
      </c>
      <c r="C311" s="3" t="s">
        <v>57</v>
      </c>
      <c r="D311" t="str">
        <f>INDEX(Products_T[ProductName],MATCH(C311,Products_T[SKU],0))</f>
        <v>Sprite 1.5L</v>
      </c>
      <c r="E311" s="3" t="s">
        <v>177</v>
      </c>
      <c r="F311" s="3">
        <v>384</v>
      </c>
      <c r="G311" s="3">
        <v>134</v>
      </c>
      <c r="H311" s="3" t="s">
        <v>178</v>
      </c>
    </row>
    <row r="312" spans="1:8" x14ac:dyDescent="0.25">
      <c r="A312" s="3" t="s">
        <v>460</v>
      </c>
      <c r="B312" s="13">
        <v>46191</v>
      </c>
      <c r="C312" s="3" t="s">
        <v>59</v>
      </c>
      <c r="D312" t="str">
        <f>INDEX(Products_T[ProductName],MATCH(C312,Products_T[SKU],0))</f>
        <v>Fanta 1.5L</v>
      </c>
      <c r="E312" s="3" t="s">
        <v>177</v>
      </c>
      <c r="F312" s="3">
        <v>261</v>
      </c>
      <c r="G312" s="3">
        <v>127</v>
      </c>
      <c r="H312" s="3" t="s">
        <v>178</v>
      </c>
    </row>
    <row r="313" spans="1:8" x14ac:dyDescent="0.25">
      <c r="A313" s="3" t="s">
        <v>461</v>
      </c>
      <c r="B313" s="13">
        <v>46191</v>
      </c>
      <c r="C313" s="3" t="s">
        <v>94</v>
      </c>
      <c r="D313" t="str">
        <f>INDEX(Products_T[ProductName],MATCH(C313,Products_T[SKU],0))</f>
        <v>Harpic Toilet Cleaner</v>
      </c>
      <c r="E313" s="3" t="s">
        <v>177</v>
      </c>
      <c r="F313" s="3">
        <v>136</v>
      </c>
      <c r="G313" s="3">
        <v>91</v>
      </c>
      <c r="H313" s="3" t="s">
        <v>178</v>
      </c>
    </row>
    <row r="314" spans="1:8" x14ac:dyDescent="0.25">
      <c r="A314" s="3" t="s">
        <v>462</v>
      </c>
      <c r="B314" s="13">
        <v>46193</v>
      </c>
      <c r="C314" s="3" t="s">
        <v>96</v>
      </c>
      <c r="D314" t="str">
        <f>INDEX(Products_T[ProductName],MATCH(C314,Products_T[SKU],0))</f>
        <v>Hypo Bleach 1L</v>
      </c>
      <c r="E314" s="3" t="s">
        <v>177</v>
      </c>
      <c r="F314" s="3">
        <v>133</v>
      </c>
      <c r="G314" s="3">
        <v>49</v>
      </c>
      <c r="H314" s="3" t="s">
        <v>178</v>
      </c>
    </row>
    <row r="315" spans="1:8" x14ac:dyDescent="0.25">
      <c r="A315" s="3" t="s">
        <v>463</v>
      </c>
      <c r="B315" s="13">
        <v>46194</v>
      </c>
      <c r="C315" s="3" t="s">
        <v>115</v>
      </c>
      <c r="D315" t="str">
        <f>INDEX(Products_T[ProductName],MATCH(C315,Products_T[SKU],0))</f>
        <v>Wireless Mouse</v>
      </c>
      <c r="E315" s="3" t="s">
        <v>177</v>
      </c>
      <c r="F315" s="3">
        <v>78</v>
      </c>
      <c r="G315" s="3">
        <v>54</v>
      </c>
      <c r="H315" s="3" t="s">
        <v>178</v>
      </c>
    </row>
    <row r="316" spans="1:8" x14ac:dyDescent="0.25">
      <c r="A316" s="3" t="s">
        <v>464</v>
      </c>
      <c r="B316" s="13">
        <v>46194</v>
      </c>
      <c r="C316" s="3" t="s">
        <v>117</v>
      </c>
      <c r="D316" t="str">
        <f>INDEX(Products_T[ProductName],MATCH(C316,Products_T[SKU],0))</f>
        <v>Extension Socket 4-way</v>
      </c>
      <c r="E316" s="3" t="s">
        <v>177</v>
      </c>
      <c r="F316" s="3">
        <v>62</v>
      </c>
      <c r="G316" s="3">
        <v>48</v>
      </c>
      <c r="H316" s="3" t="s">
        <v>178</v>
      </c>
    </row>
    <row r="317" spans="1:8" x14ac:dyDescent="0.25">
      <c r="A317" s="3" t="s">
        <v>465</v>
      </c>
      <c r="B317" s="13">
        <v>46195</v>
      </c>
      <c r="C317" s="3" t="s">
        <v>63</v>
      </c>
      <c r="D317" t="str">
        <f>INDEX(Products_T[ProductName],MATCH(C317,Products_T[SKU],0))</f>
        <v>Malt Drink 33cl</v>
      </c>
      <c r="E317" s="3" t="s">
        <v>177</v>
      </c>
      <c r="F317" s="3">
        <v>370</v>
      </c>
      <c r="G317" s="3">
        <v>170</v>
      </c>
      <c r="H317" s="3" t="s">
        <v>178</v>
      </c>
    </row>
    <row r="318" spans="1:8" x14ac:dyDescent="0.25">
      <c r="A318" s="3" t="s">
        <v>466</v>
      </c>
      <c r="B318" s="13">
        <v>46195</v>
      </c>
      <c r="C318" s="3" t="s">
        <v>74</v>
      </c>
      <c r="D318" t="str">
        <f>INDEX(Products_T[ProductName],MATCH(C318,Products_T[SKU],0))</f>
        <v>Always Sanitary Pads</v>
      </c>
      <c r="E318" s="3" t="s">
        <v>177</v>
      </c>
      <c r="F318" s="3">
        <v>122</v>
      </c>
      <c r="G318" s="3">
        <v>24</v>
      </c>
      <c r="H318" s="3" t="s">
        <v>178</v>
      </c>
    </row>
    <row r="319" spans="1:8" x14ac:dyDescent="0.25">
      <c r="A319" s="3" t="s">
        <v>467</v>
      </c>
      <c r="B319" s="13">
        <v>46195</v>
      </c>
      <c r="C319" s="3" t="s">
        <v>79</v>
      </c>
      <c r="D319" t="str">
        <f>INDEX(Products_T[ProductName],MATCH(C319,Products_T[SKU],0))</f>
        <v>Golden Penny Semovita 1kg</v>
      </c>
      <c r="E319" s="3" t="s">
        <v>177</v>
      </c>
      <c r="F319" s="3">
        <v>274</v>
      </c>
      <c r="G319" s="3">
        <v>97</v>
      </c>
      <c r="H319" s="3" t="s">
        <v>178</v>
      </c>
    </row>
    <row r="320" spans="1:8" x14ac:dyDescent="0.25">
      <c r="A320" s="3" t="s">
        <v>468</v>
      </c>
      <c r="B320" s="13">
        <v>46195</v>
      </c>
      <c r="C320" s="3" t="s">
        <v>109</v>
      </c>
      <c r="D320" t="str">
        <f>INDEX(Products_T[ProductName],MATCH(C320,Products_T[SKU],0))</f>
        <v>HDMI Cable 1.5m</v>
      </c>
      <c r="E320" s="3" t="s">
        <v>177</v>
      </c>
      <c r="F320" s="3">
        <v>92</v>
      </c>
      <c r="G320" s="3">
        <v>35</v>
      </c>
      <c r="H320" s="3" t="s">
        <v>178</v>
      </c>
    </row>
    <row r="321" spans="1:8" x14ac:dyDescent="0.25">
      <c r="A321" s="3" t="s">
        <v>469</v>
      </c>
      <c r="B321" s="13">
        <v>46196</v>
      </c>
      <c r="C321" s="3" t="s">
        <v>54</v>
      </c>
      <c r="D321" t="str">
        <f>INDEX(Products_T[ProductName],MATCH(C321,Products_T[SKU],0))</f>
        <v>Coca-Cola 1.5L</v>
      </c>
      <c r="E321" s="3" t="s">
        <v>177</v>
      </c>
      <c r="F321" s="3">
        <v>255</v>
      </c>
      <c r="G321" s="3">
        <v>261</v>
      </c>
      <c r="H321" s="3" t="s">
        <v>178</v>
      </c>
    </row>
    <row r="322" spans="1:8" x14ac:dyDescent="0.25">
      <c r="A322" s="3" t="s">
        <v>470</v>
      </c>
      <c r="B322" s="13">
        <v>46196</v>
      </c>
      <c r="C322" s="3" t="s">
        <v>72</v>
      </c>
      <c r="D322" t="str">
        <f>INDEX(Products_T[ProductName],MATCH(C322,Products_T[SKU],0))</f>
        <v>Vaseline Lotion 400ml</v>
      </c>
      <c r="E322" s="3" t="s">
        <v>177</v>
      </c>
      <c r="F322" s="3">
        <v>325</v>
      </c>
      <c r="G322" s="3">
        <v>108</v>
      </c>
      <c r="H322" s="3" t="s">
        <v>178</v>
      </c>
    </row>
    <row r="323" spans="1:8" x14ac:dyDescent="0.25">
      <c r="A323" s="3" t="s">
        <v>471</v>
      </c>
      <c r="B323" s="13">
        <v>46196</v>
      </c>
      <c r="C323" s="3" t="s">
        <v>104</v>
      </c>
      <c r="D323" t="str">
        <f>INDEX(Products_T[ProductName],MATCH(C323,Products_T[SKU],0))</f>
        <v>USB-C Charging Cable</v>
      </c>
      <c r="E323" s="3" t="s">
        <v>177</v>
      </c>
      <c r="F323" s="3">
        <v>87</v>
      </c>
      <c r="G323" s="3">
        <v>52</v>
      </c>
      <c r="H323" s="3" t="s">
        <v>178</v>
      </c>
    </row>
    <row r="324" spans="1:8" x14ac:dyDescent="0.25">
      <c r="A324" s="3" t="s">
        <v>472</v>
      </c>
      <c r="B324" s="13">
        <v>46197</v>
      </c>
      <c r="C324" s="3" t="s">
        <v>61</v>
      </c>
      <c r="D324" t="str">
        <f>INDEX(Products_T[ProductName],MATCH(C324,Products_T[SKU],0))</f>
        <v>Bottled Water 75cl</v>
      </c>
      <c r="E324" s="3" t="s">
        <v>177</v>
      </c>
      <c r="F324" s="3">
        <v>262</v>
      </c>
      <c r="G324" s="3">
        <v>296</v>
      </c>
      <c r="H324" s="3" t="s">
        <v>178</v>
      </c>
    </row>
    <row r="325" spans="1:8" x14ac:dyDescent="0.25">
      <c r="A325" s="3" t="s">
        <v>473</v>
      </c>
      <c r="B325" s="13">
        <v>46198</v>
      </c>
      <c r="C325" s="3" t="s">
        <v>91</v>
      </c>
      <c r="D325" t="str">
        <f>INDEX(Products_T[ProductName],MATCH(C325,Products_T[SKU],0))</f>
        <v>Omo Detergent 900g</v>
      </c>
      <c r="E325" s="3" t="s">
        <v>177</v>
      </c>
      <c r="F325" s="3">
        <v>149</v>
      </c>
      <c r="G325" s="3">
        <v>118</v>
      </c>
      <c r="H325" s="3" t="s">
        <v>178</v>
      </c>
    </row>
    <row r="326" spans="1:8" x14ac:dyDescent="0.25">
      <c r="A326" s="3" t="s">
        <v>474</v>
      </c>
      <c r="B326" s="13">
        <v>46198</v>
      </c>
      <c r="C326" s="3" t="s">
        <v>113</v>
      </c>
      <c r="D326" t="str">
        <f>INDEX(Products_T[ProductName],MATCH(C326,Products_T[SKU],0))</f>
        <v>Phone Screen Protector</v>
      </c>
      <c r="E326" s="3" t="s">
        <v>177</v>
      </c>
      <c r="F326" s="3">
        <v>42</v>
      </c>
      <c r="G326" s="3">
        <v>79</v>
      </c>
      <c r="H326" s="3" t="s">
        <v>178</v>
      </c>
    </row>
    <row r="327" spans="1:8" x14ac:dyDescent="0.25">
      <c r="A327" s="3" t="s">
        <v>475</v>
      </c>
      <c r="B327" s="13">
        <v>46199</v>
      </c>
      <c r="C327" s="3" t="s">
        <v>100</v>
      </c>
      <c r="D327" t="str">
        <f>INDEX(Products_T[ProductName],MATCH(C327,Products_T[SKU],0))</f>
        <v>Ambipur Air Freshener</v>
      </c>
      <c r="E327" s="3" t="s">
        <v>177</v>
      </c>
      <c r="F327" s="3">
        <v>188</v>
      </c>
      <c r="G327" s="3">
        <v>0</v>
      </c>
      <c r="H327" s="3" t="s">
        <v>178</v>
      </c>
    </row>
    <row r="328" spans="1:8" x14ac:dyDescent="0.25">
      <c r="A328" s="3" t="s">
        <v>476</v>
      </c>
      <c r="B328" s="13">
        <v>46200</v>
      </c>
      <c r="C328" s="3" t="s">
        <v>70</v>
      </c>
      <c r="D328" t="str">
        <f>INDEX(Products_T[ProductName],MATCH(C328,Products_T[SKU],0))</f>
        <v>Sunsilk Shampoo 200ml</v>
      </c>
      <c r="E328" s="3" t="s">
        <v>177</v>
      </c>
      <c r="F328" s="3">
        <v>219</v>
      </c>
      <c r="G328" s="3">
        <v>83</v>
      </c>
      <c r="H328" s="3" t="s">
        <v>178</v>
      </c>
    </row>
    <row r="329" spans="1:8" x14ac:dyDescent="0.25">
      <c r="A329" s="3" t="s">
        <v>477</v>
      </c>
      <c r="B329" s="13">
        <v>46201</v>
      </c>
      <c r="C329" s="3" t="s">
        <v>85</v>
      </c>
      <c r="D329" t="str">
        <f>INDEX(Products_T[ProductName],MATCH(C329,Products_T[SKU],0))</f>
        <v>Kings Vegetable Oil 1L</v>
      </c>
      <c r="E329" s="3" t="s">
        <v>177</v>
      </c>
      <c r="F329" s="3">
        <v>88</v>
      </c>
      <c r="G329" s="3">
        <v>67</v>
      </c>
      <c r="H329" s="3" t="s">
        <v>178</v>
      </c>
    </row>
    <row r="330" spans="1:8" x14ac:dyDescent="0.25">
      <c r="A330" s="3" t="s">
        <v>478</v>
      </c>
      <c r="B330" s="13">
        <v>46201</v>
      </c>
      <c r="C330" s="3" t="s">
        <v>98</v>
      </c>
      <c r="D330" t="str">
        <f>INDEX(Products_T[ProductName],MATCH(C330,Products_T[SKU],0))</f>
        <v>Sunlight Dishwash Liquid</v>
      </c>
      <c r="E330" s="3" t="s">
        <v>177</v>
      </c>
      <c r="F330" s="3">
        <v>98</v>
      </c>
      <c r="G330" s="3">
        <v>151</v>
      </c>
      <c r="H330" s="3" t="s">
        <v>178</v>
      </c>
    </row>
    <row r="331" spans="1:8" x14ac:dyDescent="0.25">
      <c r="A331" s="3" t="s">
        <v>479</v>
      </c>
      <c r="B331" s="13">
        <v>46201</v>
      </c>
      <c r="C331" s="3" t="s">
        <v>107</v>
      </c>
      <c r="D331" t="str">
        <f>INDEX(Products_T[ProductName],MATCH(C331,Products_T[SKU],0))</f>
        <v>Bluetooth Earbuds</v>
      </c>
      <c r="E331" s="3" t="s">
        <v>177</v>
      </c>
      <c r="F331" s="3">
        <v>87</v>
      </c>
      <c r="G331" s="3">
        <v>14</v>
      </c>
      <c r="H331" s="3" t="s">
        <v>178</v>
      </c>
    </row>
    <row r="332" spans="1:8" x14ac:dyDescent="0.25">
      <c r="A332" s="3" t="s">
        <v>480</v>
      </c>
      <c r="B332" s="13">
        <v>46202</v>
      </c>
      <c r="C332" s="3" t="s">
        <v>68</v>
      </c>
      <c r="D332" t="str">
        <f>INDEX(Products_T[ProductName],MATCH(C332,Products_T[SKU],0))</f>
        <v>Dettol Soap 100g</v>
      </c>
      <c r="E332" s="3" t="s">
        <v>267</v>
      </c>
      <c r="F332" s="3">
        <v>-3</v>
      </c>
      <c r="G332" s="3">
        <v>126</v>
      </c>
      <c r="H332" s="3" t="s">
        <v>481</v>
      </c>
    </row>
    <row r="333" spans="1:8" x14ac:dyDescent="0.25">
      <c r="A333" s="3" t="s">
        <v>482</v>
      </c>
      <c r="B333" s="13">
        <v>46202</v>
      </c>
      <c r="C333" s="3" t="s">
        <v>85</v>
      </c>
      <c r="D333" t="str">
        <f>INDEX(Products_T[ProductName],MATCH(C333,Products_T[SKU],0))</f>
        <v>Kings Vegetable Oil 1L</v>
      </c>
      <c r="E333" s="3" t="s">
        <v>267</v>
      </c>
      <c r="F333" s="3">
        <v>5</v>
      </c>
      <c r="G333" s="3">
        <v>72</v>
      </c>
      <c r="H333" s="3" t="s">
        <v>481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zoomScaleNormal="100" workbookViewId="0"/>
  </sheetViews>
  <sheetFormatPr defaultColWidth="8.7109375" defaultRowHeight="15" x14ac:dyDescent="0.25"/>
  <cols>
    <col min="1" max="1" width="13" customWidth="1"/>
    <col min="2" max="3" width="10" customWidth="1"/>
    <col min="4" max="4" width="26" customWidth="1"/>
    <col min="5" max="5" width="11" customWidth="1"/>
    <col min="6" max="6" width="24" customWidth="1"/>
    <col min="7" max="7" width="10" customWidth="1"/>
    <col min="8" max="8" width="13" customWidth="1"/>
    <col min="9" max="9" width="10" customWidth="1"/>
    <col min="10" max="10" width="12" customWidth="1"/>
  </cols>
  <sheetData>
    <row r="1" spans="1:10" ht="30" x14ac:dyDescent="0.25">
      <c r="A1" s="1" t="s">
        <v>483</v>
      </c>
      <c r="B1" s="1" t="s">
        <v>484</v>
      </c>
      <c r="C1" s="1" t="s">
        <v>35</v>
      </c>
      <c r="D1" s="1" t="s">
        <v>36</v>
      </c>
      <c r="E1" s="1" t="s">
        <v>9</v>
      </c>
      <c r="F1" s="1" t="s">
        <v>10</v>
      </c>
      <c r="G1" s="1" t="s">
        <v>141</v>
      </c>
      <c r="H1" s="1" t="s">
        <v>485</v>
      </c>
      <c r="I1" s="1" t="s">
        <v>47</v>
      </c>
      <c r="J1" s="1" t="s">
        <v>486</v>
      </c>
    </row>
    <row r="2" spans="1:10" x14ac:dyDescent="0.25">
      <c r="A2" s="13">
        <v>46198</v>
      </c>
      <c r="B2" s="3" t="s">
        <v>487</v>
      </c>
      <c r="C2" s="3" t="s">
        <v>87</v>
      </c>
      <c r="D2" t="str">
        <f>INDEX(Products_T[ProductName],MATCH(C2,Products_T[SKU],0))</f>
        <v>Titus Sardine Tin</v>
      </c>
      <c r="E2" s="3" t="s">
        <v>20</v>
      </c>
      <c r="F2" t="str">
        <f>INDEX(Suppliers_T[SupplierName],MATCH(E2,Suppliers_T[SupplierID],0))</f>
        <v>Bulk Wholesale Co</v>
      </c>
      <c r="G2" s="3">
        <v>180</v>
      </c>
      <c r="H2" s="13">
        <v>46203</v>
      </c>
      <c r="I2" s="3" t="s">
        <v>132</v>
      </c>
      <c r="J2" s="10">
        <f>G2*INDEX(Products_T[UnitCost],MATCH(C2,Products_T[SKU],0))</f>
        <v>104400</v>
      </c>
    </row>
    <row r="3" spans="1:10" x14ac:dyDescent="0.25">
      <c r="A3" s="13">
        <v>46200</v>
      </c>
      <c r="B3" s="3" t="s">
        <v>488</v>
      </c>
      <c r="C3" s="3" t="s">
        <v>107</v>
      </c>
      <c r="D3" t="str">
        <f>INDEX(Products_T[ProductName],MATCH(C3,Products_T[SKU],0))</f>
        <v>Bluetooth Earbuds</v>
      </c>
      <c r="E3" s="3" t="s">
        <v>22</v>
      </c>
      <c r="F3" t="str">
        <f>INDEX(Suppliers_T[SupplierName],MATCH(E3,Suppliers_T[SupplierID],0))</f>
        <v>Quality Imports Ltd</v>
      </c>
      <c r="G3" s="3">
        <v>90</v>
      </c>
      <c r="H3" s="13">
        <v>46209</v>
      </c>
      <c r="I3" s="3" t="s">
        <v>132</v>
      </c>
      <c r="J3" s="10">
        <f>G3*INDEX(Products_T[UnitCost],MATCH(C3,Products_T[SKU],0))</f>
        <v>765000</v>
      </c>
    </row>
    <row r="4" spans="1:10" x14ac:dyDescent="0.25">
      <c r="A4" s="13">
        <v>46201</v>
      </c>
      <c r="B4" s="3" t="s">
        <v>489</v>
      </c>
      <c r="C4" s="3" t="s">
        <v>74</v>
      </c>
      <c r="D4" t="str">
        <f>INDEX(Products_T[ProductName],MATCH(C4,Products_T[SKU],0))</f>
        <v>Always Sanitary Pads</v>
      </c>
      <c r="E4" s="3" t="s">
        <v>18</v>
      </c>
      <c r="F4" t="str">
        <f>INDEX(Suppliers_T[SupplierName],MATCH(E4,Suppliers_T[SupplierID],0))</f>
        <v>Premier Supplies Ltd</v>
      </c>
      <c r="G4" s="3">
        <v>200</v>
      </c>
      <c r="H4" s="13">
        <v>46208</v>
      </c>
      <c r="I4" s="3" t="s">
        <v>132</v>
      </c>
      <c r="J4" s="10">
        <f>G4*INDEX(Products_T[UnitCost],MATCH(C4,Products_T[SKU],0))</f>
        <v>76000</v>
      </c>
    </row>
    <row r="5" spans="1:10" x14ac:dyDescent="0.25">
      <c r="A5" s="13">
        <v>46202</v>
      </c>
      <c r="B5" s="3" t="s">
        <v>490</v>
      </c>
      <c r="C5" s="3" t="s">
        <v>115</v>
      </c>
      <c r="D5" t="str">
        <f>INDEX(Products_T[ProductName],MATCH(C5,Products_T[SKU],0))</f>
        <v>Wireless Mouse</v>
      </c>
      <c r="E5" s="3" t="s">
        <v>22</v>
      </c>
      <c r="F5" t="str">
        <f>INDEX(Suppliers_T[SupplierName],MATCH(E5,Suppliers_T[SupplierID],0))</f>
        <v>Quality Imports Ltd</v>
      </c>
      <c r="G5" s="3">
        <v>120</v>
      </c>
      <c r="H5" s="13">
        <v>46211</v>
      </c>
      <c r="I5" s="3" t="s">
        <v>491</v>
      </c>
      <c r="J5" s="10">
        <f>G5*INDEX(Products_T[UnitCost],MATCH(C5,Products_T[SKU],0))</f>
        <v>384000</v>
      </c>
    </row>
    <row r="6" spans="1:10" x14ac:dyDescent="0.25">
      <c r="A6" s="13">
        <v>46203</v>
      </c>
      <c r="B6" s="3" t="s">
        <v>492</v>
      </c>
      <c r="C6" s="3" t="s">
        <v>100</v>
      </c>
      <c r="D6" t="str">
        <f>INDEX(Products_T[ProductName],MATCH(C6,Products_T[SKU],0))</f>
        <v>Ambipur Air Freshener</v>
      </c>
      <c r="E6" s="3" t="s">
        <v>24</v>
      </c>
      <c r="F6" t="str">
        <f>INDEX(Suppliers_T[SupplierName],MATCH(E6,Suppliers_T[SupplierID],0))</f>
        <v>Local Sourcing Ltd</v>
      </c>
      <c r="G6" s="3">
        <v>220</v>
      </c>
      <c r="H6" s="13">
        <v>46207</v>
      </c>
      <c r="I6" s="3" t="s">
        <v>491</v>
      </c>
      <c r="J6" s="10">
        <f>G6*INDEX(Products_T[UnitCost],MATCH(C6,Products_T[SKU],0))</f>
        <v>165000</v>
      </c>
    </row>
    <row r="7" spans="1:10" x14ac:dyDescent="0.25">
      <c r="A7" s="13">
        <v>46206</v>
      </c>
      <c r="B7" s="3" t="s">
        <v>493</v>
      </c>
      <c r="C7" s="3" t="s">
        <v>70</v>
      </c>
      <c r="D7" t="str">
        <f>INDEX(Products_T[ProductName],MATCH(C7,Products_T[SKU],0))</f>
        <v>Sunsilk Shampoo 200ml</v>
      </c>
      <c r="E7" s="3" t="s">
        <v>18</v>
      </c>
      <c r="F7" t="str">
        <f>INDEX(Suppliers_T[SupplierName],MATCH(E7,Suppliers_T[SupplierID],0))</f>
        <v>Premier Supplies Ltd</v>
      </c>
      <c r="G7" s="3">
        <v>250</v>
      </c>
      <c r="H7" s="13">
        <v>46213</v>
      </c>
      <c r="I7" s="3" t="s">
        <v>491</v>
      </c>
      <c r="J7" s="10">
        <f>G7*INDEX(Products_T[UnitCost],MATCH(C7,Products_T[SKU],0))</f>
        <v>137500</v>
      </c>
    </row>
    <row r="8" spans="1:10" x14ac:dyDescent="0.25">
      <c r="A8" s="13">
        <v>46207</v>
      </c>
      <c r="B8" s="3" t="s">
        <v>494</v>
      </c>
      <c r="C8" s="3" t="s">
        <v>109</v>
      </c>
      <c r="D8" t="str">
        <f>INDEX(Products_T[ProductName],MATCH(C8,Products_T[SKU],0))</f>
        <v>HDMI Cable 1.5m</v>
      </c>
      <c r="E8" s="3" t="s">
        <v>22</v>
      </c>
      <c r="F8" t="str">
        <f>INDEX(Suppliers_T[SupplierName],MATCH(E8,Suppliers_T[SupplierID],0))</f>
        <v>Quality Imports Ltd</v>
      </c>
      <c r="G8" s="3">
        <v>300</v>
      </c>
      <c r="H8" s="13">
        <v>46216</v>
      </c>
      <c r="I8" s="3" t="s">
        <v>491</v>
      </c>
      <c r="J8" s="10">
        <f>G8*INDEX(Products_T[UnitCost],MATCH(C8,Products_T[SKU],0))</f>
        <v>660000</v>
      </c>
    </row>
    <row r="9" spans="1:10" x14ac:dyDescent="0.25">
      <c r="A9" s="13">
        <v>46208</v>
      </c>
      <c r="B9" s="3" t="s">
        <v>495</v>
      </c>
      <c r="C9" s="3" t="s">
        <v>59</v>
      </c>
      <c r="D9" t="str">
        <f>INDEX(Products_T[ProductName],MATCH(C9,Products_T[SKU],0))</f>
        <v>Fanta 1.5L</v>
      </c>
      <c r="E9" s="3" t="s">
        <v>22</v>
      </c>
      <c r="F9" t="str">
        <f>INDEX(Suppliers_T[SupplierName],MATCH(E9,Suppliers_T[SupplierID],0))</f>
        <v>Quality Imports Ltd</v>
      </c>
      <c r="G9" s="3">
        <v>300</v>
      </c>
      <c r="H9" s="13">
        <v>46217</v>
      </c>
      <c r="I9" s="3" t="s">
        <v>491</v>
      </c>
      <c r="J9" s="10">
        <f>G9*INDEX(Products_T[UnitCost],MATCH(C9,Products_T[SKU],0))</f>
        <v>72000</v>
      </c>
    </row>
    <row r="10" spans="1:10" x14ac:dyDescent="0.25">
      <c r="A10" s="13">
        <v>46209</v>
      </c>
      <c r="B10" s="3" t="s">
        <v>496</v>
      </c>
      <c r="C10" s="3" t="s">
        <v>96</v>
      </c>
      <c r="D10" t="str">
        <f>INDEX(Products_T[ProductName],MATCH(C10,Products_T[SKU],0))</f>
        <v>Hypo Bleach 1L</v>
      </c>
      <c r="E10" s="3" t="s">
        <v>20</v>
      </c>
      <c r="F10" t="str">
        <f>INDEX(Suppliers_T[SupplierName],MATCH(E10,Suppliers_T[SupplierID],0))</f>
        <v>Bulk Wholesale Co</v>
      </c>
      <c r="G10" s="3">
        <v>260</v>
      </c>
      <c r="H10" s="13">
        <v>46214</v>
      </c>
      <c r="I10" s="3" t="s">
        <v>491</v>
      </c>
      <c r="J10" s="10">
        <f>G10*INDEX(Products_T[UnitCost],MATCH(C10,Products_T[SKU],0))</f>
        <v>88400</v>
      </c>
    </row>
  </sheetData>
  <conditionalFormatting sqref="I2:I10">
    <cfRule type="expression" dxfId="1" priority="2">
      <formula>I2="Pending"</formula>
    </cfRule>
    <cfRule type="expression" dxfId="0" priority="3">
      <formula>I2="Received"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DateTable</vt:lpstr>
      <vt:lpstr>Suppliers</vt:lpstr>
      <vt:lpstr>SupplierLeadTime</vt:lpstr>
      <vt:lpstr>Products</vt:lpstr>
      <vt:lpstr>MonthlyMovement</vt:lpstr>
      <vt:lpstr>Transactions</vt:lpstr>
      <vt:lpstr>PurchaseOrders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olajimi adeleke</cp:lastModifiedBy>
  <cp:revision>0</cp:revision>
  <dcterms:created xsi:type="dcterms:W3CDTF">2026-07-24T09:14:01Z</dcterms:created>
  <dcterms:modified xsi:type="dcterms:W3CDTF">2026-08-08T10:02:27Z</dcterms:modified>
  <dc:language>en-US</dc:language>
</cp:coreProperties>
</file>